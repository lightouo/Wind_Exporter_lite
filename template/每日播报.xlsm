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9" codeName="{AE6600E7-7A62-396C-DE95-9942FA9DD81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13424\Desktop\WindExp\Wind_Exporter_lite\template\"/>
    </mc:Choice>
  </mc:AlternateContent>
  <xr:revisionPtr revIDLastSave="0" documentId="13_ncr:1_{A5A9F008-23BA-489B-96EE-EB3D20D2BC88}" xr6:coauthVersionLast="47" xr6:coauthVersionMax="47" xr10:uidLastSave="{00000000-0000-0000-0000-000000000000}"/>
  <bookViews>
    <workbookView xWindow="-108" yWindow="-108" windowWidth="23256" windowHeight="12576" tabRatio="780" activeTab="9" xr2:uid="{00000000-000D-0000-FFFF-FFFF00000000}"/>
  </bookViews>
  <sheets>
    <sheet name="数据源" sheetId="30" r:id="rId1"/>
    <sheet name="ETF同业" sheetId="32" r:id="rId2"/>
    <sheet name="最终 数据源" sheetId="31" r:id="rId3"/>
    <sheet name="广发证券" sheetId="17" r:id="rId4"/>
    <sheet name="中金财富" sheetId="23" r:id="rId5"/>
    <sheet name="粤开证券" sheetId="28" r:id="rId6"/>
    <sheet name="国海" sheetId="24" r:id="rId7"/>
    <sheet name="万联" sheetId="21" r:id="rId8"/>
    <sheet name="招商证券" sheetId="20" r:id="rId9"/>
    <sheet name="国信证券" sheetId="22" r:id="rId10"/>
    <sheet name="国盛证券" sheetId="26" r:id="rId11"/>
    <sheet name="长城证券" sheetId="27" r:id="rId12"/>
    <sheet name="安信证券" sheetId="25" r:id="rId13"/>
    <sheet name="播报规则" sheetId="29" r:id="rId14"/>
  </sheets>
  <calcPr calcId="191029"/>
</workbook>
</file>

<file path=xl/calcChain.xml><?xml version="1.0" encoding="utf-8"?>
<calcChain xmlns="http://schemas.openxmlformats.org/spreadsheetml/2006/main">
  <c r="M7" i="22" l="1"/>
  <c r="L7" i="22"/>
  <c r="N7" i="22"/>
  <c r="H7" i="22"/>
  <c r="A20" i="31"/>
  <c r="B20" i="31"/>
  <c r="C20" i="31"/>
  <c r="D20" i="31"/>
  <c r="E20" i="31"/>
  <c r="F20" i="31"/>
  <c r="G20" i="31"/>
  <c r="A21" i="31"/>
  <c r="B21" i="31"/>
  <c r="C21" i="31"/>
  <c r="D21" i="31"/>
  <c r="E21" i="31"/>
  <c r="F21" i="31"/>
  <c r="G21" i="31"/>
  <c r="H5" i="22"/>
  <c r="H6" i="22"/>
  <c r="G5" i="22"/>
  <c r="G6" i="22"/>
  <c r="G7" i="22"/>
  <c r="F5" i="22"/>
  <c r="F6" i="22"/>
  <c r="F7" i="22"/>
  <c r="E5" i="22"/>
  <c r="E6" i="22"/>
  <c r="N19" i="17"/>
  <c r="N20" i="17"/>
  <c r="N21" i="17"/>
  <c r="N18" i="17"/>
  <c r="M19" i="17"/>
  <c r="M20" i="17"/>
  <c r="M21" i="17"/>
  <c r="M18" i="17"/>
  <c r="N17" i="17" l="1"/>
  <c r="A19" i="31"/>
  <c r="B19" i="31"/>
  <c r="C19" i="31"/>
  <c r="D19" i="31"/>
  <c r="E19" i="31"/>
  <c r="F19" i="31"/>
  <c r="G19" i="31"/>
  <c r="A2" i="31"/>
  <c r="B2" i="31"/>
  <c r="C2" i="31"/>
  <c r="D2" i="31"/>
  <c r="E2" i="31"/>
  <c r="F2" i="31"/>
  <c r="G2" i="31"/>
  <c r="A3" i="31"/>
  <c r="B3" i="31"/>
  <c r="C3" i="31"/>
  <c r="D3" i="31"/>
  <c r="E3" i="31"/>
  <c r="F3" i="31"/>
  <c r="G3" i="31"/>
  <c r="A4" i="31"/>
  <c r="B4" i="31"/>
  <c r="C4" i="31"/>
  <c r="D4" i="31"/>
  <c r="E4" i="31"/>
  <c r="F4" i="31"/>
  <c r="G4" i="31"/>
  <c r="A5" i="31"/>
  <c r="B5" i="31"/>
  <c r="C5" i="31"/>
  <c r="D5" i="31"/>
  <c r="E5" i="31"/>
  <c r="F5" i="31"/>
  <c r="G5" i="31"/>
  <c r="A6" i="31"/>
  <c r="B6" i="31"/>
  <c r="C6" i="31"/>
  <c r="D6" i="31"/>
  <c r="E6" i="31"/>
  <c r="F6" i="31"/>
  <c r="G6" i="31"/>
  <c r="A7" i="31"/>
  <c r="B7" i="31"/>
  <c r="C7" i="31"/>
  <c r="D7" i="31"/>
  <c r="E7" i="31"/>
  <c r="F7" i="31"/>
  <c r="G7" i="31"/>
  <c r="A8" i="31"/>
  <c r="B8" i="31"/>
  <c r="C8" i="31"/>
  <c r="D8" i="31"/>
  <c r="E8" i="31"/>
  <c r="F8" i="31"/>
  <c r="G8" i="31"/>
  <c r="A9" i="31"/>
  <c r="B9" i="31"/>
  <c r="C9" i="31"/>
  <c r="D9" i="31"/>
  <c r="E9" i="31"/>
  <c r="F9" i="31"/>
  <c r="G9" i="31"/>
  <c r="A10" i="31"/>
  <c r="B10" i="31"/>
  <c r="C10" i="31"/>
  <c r="D10" i="31"/>
  <c r="E10" i="31"/>
  <c r="F10" i="31"/>
  <c r="G10" i="31"/>
  <c r="A11" i="31"/>
  <c r="B11" i="31"/>
  <c r="C11" i="31"/>
  <c r="D11" i="31"/>
  <c r="E11" i="31"/>
  <c r="F11" i="31"/>
  <c r="G11" i="31"/>
  <c r="A12" i="31"/>
  <c r="B12" i="31"/>
  <c r="C12" i="31"/>
  <c r="D12" i="31"/>
  <c r="E12" i="31"/>
  <c r="F12" i="31"/>
  <c r="G12" i="31"/>
  <c r="A13" i="31"/>
  <c r="B13" i="31"/>
  <c r="C13" i="31"/>
  <c r="D13" i="31"/>
  <c r="E13" i="31"/>
  <c r="F13" i="31"/>
  <c r="G13" i="31"/>
  <c r="A14" i="31"/>
  <c r="B14" i="31"/>
  <c r="C14" i="31"/>
  <c r="D14" i="31"/>
  <c r="E14" i="31"/>
  <c r="F14" i="31"/>
  <c r="G14" i="31"/>
  <c r="A15" i="31"/>
  <c r="B15" i="31"/>
  <c r="C15" i="31"/>
  <c r="D15" i="31"/>
  <c r="E15" i="31"/>
  <c r="F15" i="31"/>
  <c r="G15" i="31"/>
  <c r="A16" i="31"/>
  <c r="B16" i="31"/>
  <c r="C16" i="31"/>
  <c r="D16" i="31"/>
  <c r="E16" i="31"/>
  <c r="F16" i="31"/>
  <c r="G16" i="31"/>
  <c r="A17" i="31"/>
  <c r="B17" i="31"/>
  <c r="C17" i="31"/>
  <c r="D17" i="31"/>
  <c r="E17" i="31"/>
  <c r="F17" i="31"/>
  <c r="G17" i="31"/>
  <c r="A18" i="31"/>
  <c r="B18" i="31"/>
  <c r="C18" i="31"/>
  <c r="D18" i="31"/>
  <c r="E18" i="31"/>
  <c r="F18" i="31"/>
  <c r="G18" i="31"/>
  <c r="C6" i="24" l="1"/>
  <c r="D6" i="24"/>
  <c r="I6" i="24"/>
  <c r="D1" i="31" l="1"/>
  <c r="A1" i="31"/>
  <c r="B1" i="31"/>
  <c r="C1" i="31"/>
  <c r="E1" i="31"/>
  <c r="F1" i="31"/>
  <c r="G1" i="31"/>
  <c r="B1" i="20"/>
  <c r="C7" i="17"/>
  <c r="D7" i="17"/>
  <c r="I7" i="17"/>
  <c r="B1" i="26"/>
  <c r="H15" i="20" l="1"/>
  <c r="G15" i="20"/>
  <c r="F15" i="20"/>
  <c r="E15" i="20"/>
  <c r="E4" i="17"/>
  <c r="G4" i="17"/>
  <c r="G5" i="23"/>
  <c r="F12" i="20"/>
  <c r="G4" i="28"/>
  <c r="G10" i="20"/>
  <c r="H10" i="22"/>
  <c r="F7" i="20"/>
  <c r="G10" i="17"/>
  <c r="E9" i="21"/>
  <c r="G7" i="21"/>
  <c r="E9" i="22"/>
  <c r="E9" i="28"/>
  <c r="E5" i="23"/>
  <c r="E7" i="20"/>
  <c r="G8" i="28"/>
  <c r="F4" i="26"/>
  <c r="G10" i="28"/>
  <c r="F4" i="17"/>
  <c r="G7" i="20"/>
  <c r="E10" i="22"/>
  <c r="H4" i="23"/>
  <c r="E6" i="25"/>
  <c r="H14" i="20"/>
  <c r="E11" i="20"/>
  <c r="H9" i="21"/>
  <c r="G8" i="22"/>
  <c r="F8" i="21"/>
  <c r="G4" i="23"/>
  <c r="F5" i="23"/>
  <c r="F6" i="28"/>
  <c r="G12" i="20"/>
  <c r="E13" i="20"/>
  <c r="F6" i="25"/>
  <c r="H6" i="20"/>
  <c r="F11" i="20"/>
  <c r="H6" i="25"/>
  <c r="E8" i="22"/>
  <c r="E4" i="28"/>
  <c r="F13" i="20"/>
  <c r="F4" i="20"/>
  <c r="F10" i="22"/>
  <c r="G9" i="17"/>
  <c r="H10" i="17"/>
  <c r="E7" i="17"/>
  <c r="H13" i="20"/>
  <c r="E14" i="17"/>
  <c r="F5" i="28"/>
  <c r="H11" i="17"/>
  <c r="F6" i="21"/>
  <c r="G13" i="20"/>
  <c r="E12" i="17"/>
  <c r="G9" i="20"/>
  <c r="G4" i="25"/>
  <c r="E7" i="21"/>
  <c r="F10" i="20"/>
  <c r="G7" i="28"/>
  <c r="F14" i="20"/>
  <c r="H9" i="22"/>
  <c r="H14" i="17"/>
  <c r="F4" i="28"/>
  <c r="F6" i="20"/>
  <c r="G5" i="17"/>
  <c r="E4" i="23"/>
  <c r="G5" i="24"/>
  <c r="F4" i="23"/>
  <c r="E8" i="20"/>
  <c r="E5" i="28"/>
  <c r="H9" i="28"/>
  <c r="F9" i="21"/>
  <c r="E4" i="25"/>
  <c r="G6" i="17"/>
  <c r="E4" i="27"/>
  <c r="G13" i="17"/>
  <c r="E8" i="28"/>
  <c r="H4" i="26"/>
  <c r="E5" i="25"/>
  <c r="F7" i="17"/>
  <c r="G8" i="17"/>
  <c r="G7" i="17"/>
  <c r="G8" i="21"/>
  <c r="G4" i="26"/>
  <c r="H8" i="20"/>
  <c r="H10" i="20"/>
  <c r="E5" i="26"/>
  <c r="G4" i="27"/>
  <c r="H10" i="28"/>
  <c r="H4" i="24"/>
  <c r="E6" i="17"/>
  <c r="E4" i="20"/>
  <c r="E8" i="17"/>
  <c r="G6" i="21"/>
  <c r="F10" i="28"/>
  <c r="H13" i="17"/>
  <c r="H12" i="17"/>
  <c r="E5" i="20"/>
  <c r="E6" i="21"/>
  <c r="G5" i="25"/>
  <c r="G6" i="25"/>
  <c r="H8" i="21"/>
  <c r="E4" i="21"/>
  <c r="E11" i="17"/>
  <c r="F11" i="17"/>
  <c r="G12" i="17"/>
  <c r="G14" i="17"/>
  <c r="E10" i="17"/>
  <c r="E4" i="24"/>
  <c r="F6" i="17"/>
  <c r="F5" i="17"/>
  <c r="F7" i="28"/>
  <c r="G4" i="24"/>
  <c r="G11" i="20"/>
  <c r="H7" i="20"/>
  <c r="F5" i="20"/>
  <c r="G14" i="20"/>
  <c r="E6" i="26"/>
  <c r="E8" i="21"/>
  <c r="G5" i="21"/>
  <c r="G6" i="20"/>
  <c r="E7" i="28"/>
  <c r="E5" i="17"/>
  <c r="G6" i="28"/>
  <c r="F13" i="17"/>
  <c r="F7" i="21"/>
  <c r="F9" i="28"/>
  <c r="F8" i="28"/>
  <c r="F5" i="24"/>
  <c r="G9" i="21"/>
  <c r="F9" i="22"/>
  <c r="H9" i="20"/>
  <c r="H11" i="20"/>
  <c r="F8" i="20"/>
  <c r="H8" i="22"/>
  <c r="E12" i="20"/>
  <c r="G6" i="26"/>
  <c r="G4" i="22"/>
  <c r="G5" i="28"/>
  <c r="F10" i="17"/>
  <c r="F8" i="17"/>
  <c r="E10" i="20"/>
  <c r="E5" i="24"/>
  <c r="F4" i="24"/>
  <c r="G4" i="21"/>
  <c r="E6" i="20"/>
  <c r="G10" i="22"/>
  <c r="F5" i="21"/>
  <c r="H4" i="20"/>
  <c r="F6" i="26"/>
  <c r="F5" i="25"/>
  <c r="G9" i="22"/>
  <c r="F4" i="27"/>
  <c r="E5" i="21"/>
  <c r="E6" i="28"/>
  <c r="G11" i="17"/>
  <c r="E9" i="17"/>
  <c r="G5" i="26"/>
  <c r="E14" i="20"/>
  <c r="H4" i="28"/>
  <c r="H4" i="17"/>
  <c r="E4" i="26"/>
  <c r="H12" i="20"/>
  <c r="E9" i="20"/>
  <c r="F5" i="26"/>
  <c r="G5" i="20"/>
  <c r="G9" i="28"/>
  <c r="E13" i="17"/>
  <c r="F14" i="17"/>
  <c r="F12" i="17"/>
  <c r="F9" i="20"/>
  <c r="F4" i="21"/>
  <c r="F9" i="17"/>
  <c r="F4" i="25"/>
  <c r="F8" i="22"/>
  <c r="G4" i="20"/>
  <c r="F4" i="22"/>
  <c r="E4" i="22"/>
  <c r="G8" i="20"/>
  <c r="E10" i="28"/>
  <c r="E7" i="24"/>
  <c r="E6" i="24"/>
  <c r="F7" i="24"/>
  <c r="G7" i="24"/>
  <c r="H7" i="24"/>
  <c r="F6" i="24"/>
  <c r="G6" i="24"/>
  <c r="H6" i="24"/>
  <c r="F5" i="27"/>
  <c r="H5" i="21"/>
  <c r="H7" i="21"/>
  <c r="H9" i="17"/>
  <c r="G8" i="23"/>
  <c r="F7" i="23"/>
  <c r="H6" i="28"/>
  <c r="H8" i="17"/>
  <c r="H7" i="17"/>
  <c r="H5" i="17"/>
  <c r="H7" i="23"/>
  <c r="H6" i="21"/>
  <c r="G7" i="23"/>
  <c r="E5" i="27"/>
  <c r="E7" i="23"/>
  <c r="G5" i="27"/>
  <c r="H6" i="23"/>
  <c r="H8" i="28"/>
  <c r="H5" i="27"/>
  <c r="G6" i="23"/>
  <c r="F6" i="23"/>
  <c r="H5" i="26"/>
  <c r="E6" i="23"/>
  <c r="H8" i="23"/>
  <c r="H7" i="28"/>
  <c r="H5" i="25"/>
  <c r="F8" i="23"/>
  <c r="E8" i="23"/>
  <c r="B1" i="17"/>
  <c r="B1" i="24" l="1"/>
  <c r="C8" i="20" l="1"/>
  <c r="D8" i="20"/>
  <c r="D7" i="20"/>
  <c r="C7" i="20"/>
  <c r="K9" i="20"/>
  <c r="D6" i="22"/>
  <c r="D5" i="22"/>
  <c r="C5" i="22"/>
  <c r="C6" i="22"/>
  <c r="I5" i="22"/>
  <c r="I6" i="22"/>
  <c r="B1" i="22"/>
  <c r="C24" i="17" l="1"/>
  <c r="C23" i="17"/>
  <c r="I6" i="28" l="1"/>
  <c r="D6" i="28"/>
  <c r="C6" i="28"/>
  <c r="I7" i="28"/>
  <c r="D7" i="28"/>
  <c r="C7" i="28"/>
  <c r="B1" i="28"/>
  <c r="K8" i="23"/>
  <c r="I7" i="23"/>
  <c r="D7" i="23"/>
  <c r="C7" i="23"/>
  <c r="I6" i="23"/>
  <c r="D6" i="23"/>
  <c r="C6" i="23"/>
  <c r="B1" i="23"/>
  <c r="I5" i="27"/>
  <c r="D5" i="27"/>
  <c r="C5" i="27"/>
  <c r="B1" i="27"/>
  <c r="K5" i="25"/>
  <c r="B1" i="25"/>
  <c r="I5" i="21"/>
  <c r="D5" i="21"/>
  <c r="C5" i="21"/>
  <c r="I6" i="21"/>
  <c r="D6" i="21"/>
  <c r="C6" i="21"/>
  <c r="B1" i="21"/>
  <c r="I7" i="20"/>
  <c r="I8" i="20"/>
</calcChain>
</file>

<file path=xl/sharedStrings.xml><?xml version="1.0" encoding="utf-8"?>
<sst xmlns="http://schemas.openxmlformats.org/spreadsheetml/2006/main" count="618" uniqueCount="216">
  <si>
    <t>基金名称</t>
  </si>
  <si>
    <t>成立时间</t>
  </si>
  <si>
    <t>单位净值</t>
  </si>
  <si>
    <t>单日涨幅</t>
  </si>
  <si>
    <t>近1月涨幅</t>
  </si>
  <si>
    <t>今年以来</t>
  </si>
  <si>
    <t>基金经理</t>
  </si>
  <si>
    <t>近一年</t>
  </si>
  <si>
    <t>近一周</t>
  </si>
  <si>
    <t>持营池产品</t>
  </si>
  <si>
    <t>黄维</t>
  </si>
  <si>
    <t>平安中短债债券
（004827）</t>
  </si>
  <si>
    <t>高勇标</t>
  </si>
  <si>
    <t>平安策略先锋
（700003）</t>
  </si>
  <si>
    <t>神爱前</t>
  </si>
  <si>
    <t>平安新鑫先锋
（000739）</t>
  </si>
  <si>
    <t>张晓泉</t>
  </si>
  <si>
    <t>近两年首发产品售后跟踪</t>
  </si>
  <si>
    <t>平安研究睿选A
（009661）</t>
  </si>
  <si>
    <t>李化松</t>
  </si>
  <si>
    <t>平安低碳经济A
（009878）</t>
  </si>
  <si>
    <t>何杰</t>
  </si>
  <si>
    <t>平安价值成长A
（010126）</t>
  </si>
  <si>
    <t>平安品质优选
（014460）</t>
  </si>
  <si>
    <t>行业优选ETF</t>
  </si>
  <si>
    <t>产品名称</t>
  </si>
  <si>
    <t>养殖ETF
(516760)</t>
  </si>
  <si>
    <t>医疗创新ETF
（516820）</t>
  </si>
  <si>
    <t>新能车ETF
（515700）</t>
  </si>
  <si>
    <t>消费电子ETF
（561600）</t>
  </si>
  <si>
    <t>投资观点
(仅供参考)</t>
  </si>
  <si>
    <t>重点关注</t>
  </si>
  <si>
    <t>左侧布局</t>
  </si>
  <si>
    <t>长期关注</t>
  </si>
  <si>
    <t>跟踪指数</t>
  </si>
  <si>
    <t>中证畜牧（930707）</t>
  </si>
  <si>
    <t>消费电子（931494）</t>
  </si>
  <si>
    <t>当前净值</t>
  </si>
  <si>
    <t>推荐理由</t>
  </si>
  <si>
    <t>1、受益于通胀大环境
2、猪周期有望见底回升
3、种业为农业的“芯片”受益国家产业政策支持</t>
  </si>
  <si>
    <t>1、全市场独家覆盖三大医疗黄金赛道ETF“创新药”+“医疗器械”+“医疗服务”
2、指数大幅调整，估值风险不断释放</t>
  </si>
  <si>
    <t>1、优选新能源产业龙头企业
2、新能源产业趋势确定性强，长期投资逻辑清晰</t>
  </si>
  <si>
    <t>1、一键布局“芯片”“5G”“VR/AR”
2、等待消费需求回暖带来的行业拐点</t>
  </si>
  <si>
    <t>数据来源：Wind,基金有风险 投资需谨慎；过往业绩不代表未来收益</t>
  </si>
  <si>
    <t>上证指数</t>
  </si>
  <si>
    <t>万得全A</t>
  </si>
  <si>
    <t>平安估值精选A
（007893）</t>
  </si>
  <si>
    <t>平安转型创新A
（004390）</t>
  </si>
  <si>
    <t>平安安盈
（002537）</t>
  </si>
  <si>
    <t>薛冀颖</t>
  </si>
  <si>
    <t>平安鼎泰
（167001）</t>
  </si>
  <si>
    <t>张俊生</t>
  </si>
  <si>
    <t>近一年首发产品售后跟踪</t>
  </si>
  <si>
    <t>平安优质企业
（012475）</t>
  </si>
  <si>
    <t>薛翼颖</t>
  </si>
  <si>
    <t>平安短债
（005754）</t>
  </si>
  <si>
    <t>欧阳亮</t>
  </si>
  <si>
    <t>平安成长龙头
(013687)</t>
  </si>
  <si>
    <t>002450.OF</t>
  </si>
  <si>
    <t>004827.OF</t>
  </si>
  <si>
    <t>005754.OF</t>
  </si>
  <si>
    <t>700003.OF</t>
  </si>
  <si>
    <t>000739.OF</t>
  </si>
  <si>
    <t>009661.OF</t>
  </si>
  <si>
    <t>009878.OF</t>
  </si>
  <si>
    <t>010126.OF</t>
  </si>
  <si>
    <t>014460.OF</t>
  </si>
  <si>
    <t>007893.OF</t>
  </si>
  <si>
    <t>004390.OF</t>
  </si>
  <si>
    <t>002537.OF</t>
  </si>
  <si>
    <t>167001.OF</t>
  </si>
  <si>
    <t>012475.OF</t>
  </si>
  <si>
    <t>013687.OF</t>
  </si>
  <si>
    <t>定投推荐</t>
  </si>
  <si>
    <t>定投推荐</t>
    <phoneticPr fontId="21" type="noConversion"/>
  </si>
  <si>
    <t>@胡文韬-平安基金助理 @贾祥龙-平安基金助理 每日净值做如下更改：</t>
  </si>
  <si>
    <t>图表文字都改</t>
  </si>
  <si>
    <t>1、刘杰的产品全部去掉；</t>
  </si>
  <si>
    <t>2、文字内容根据后面的要求增加短债，超短债产品，业绩格式体现为今日收益和今年以来；</t>
  </si>
  <si>
    <t>4、文字表格主动权益推荐栏目的名字全改为定投推荐</t>
  </si>
  <si>
    <t>5、招商，表格和文字去掉主动权益推荐栏目，文字增加货币+推荐部分</t>
  </si>
  <si>
    <t>6、安信，主动权益只留神爱前，文字加上货币+</t>
  </si>
  <si>
    <t>7、国信，文字增加货币+</t>
  </si>
  <si>
    <t>8、中金，定投推荐只留神爱前，文字加上货币加</t>
  </si>
  <si>
    <t>9、申万，持营池栏目策略先锋，短债。货币+栏目超短债。文字表格都体现</t>
  </si>
  <si>
    <t>10、平安，持营睿享成长，短债，超短债。主动权益推荐去掉</t>
  </si>
  <si>
    <t>11、国君，栏目名按前面要求更改</t>
  </si>
  <si>
    <t>12、主动权益栏目去掉</t>
  </si>
  <si>
    <t>6、广发，表格文字去掉主动权益推荐，持营中短债换超短债，短债</t>
    <phoneticPr fontId="21" type="noConversion"/>
  </si>
  <si>
    <t>3、所有表格中理财替代栏目名字换成货币+推荐</t>
    <phoneticPr fontId="21" type="noConversion"/>
  </si>
  <si>
    <t>008694.OF</t>
    <phoneticPr fontId="21" type="noConversion"/>
  </si>
  <si>
    <t>005754.OF</t>
    <phoneticPr fontId="21" type="noConversion"/>
  </si>
  <si>
    <t>009661.OF</t>
    <phoneticPr fontId="21" type="noConversion"/>
  </si>
  <si>
    <t>005754.OF</t>
    <phoneticPr fontId="21" type="noConversion"/>
  </si>
  <si>
    <t>008694.OF</t>
    <phoneticPr fontId="21" type="noConversion"/>
  </si>
  <si>
    <t>000739.OF</t>
    <phoneticPr fontId="21" type="noConversion"/>
  </si>
  <si>
    <t>009878.OF</t>
    <phoneticPr fontId="21" type="noConversion"/>
  </si>
  <si>
    <t>010126.OF</t>
    <phoneticPr fontId="21" type="noConversion"/>
  </si>
  <si>
    <t>700003.OF</t>
    <phoneticPr fontId="21" type="noConversion"/>
  </si>
  <si>
    <t>004390.OF</t>
    <phoneticPr fontId="21" type="noConversion"/>
  </si>
  <si>
    <t>002537.OF</t>
    <phoneticPr fontId="21" type="noConversion"/>
  </si>
  <si>
    <t>004390.OF</t>
    <phoneticPr fontId="21" type="noConversion"/>
  </si>
  <si>
    <t>005754.OF</t>
    <phoneticPr fontId="21" type="noConversion"/>
  </si>
  <si>
    <t>货币+</t>
    <phoneticPr fontId="21" type="noConversion"/>
  </si>
  <si>
    <t>货币+</t>
    <phoneticPr fontId="21" type="noConversion"/>
  </si>
  <si>
    <t>货币+</t>
    <phoneticPr fontId="21" type="noConversion"/>
  </si>
  <si>
    <t>定投推荐</t>
    <phoneticPr fontId="21" type="noConversion"/>
  </si>
  <si>
    <t>持营精选池</t>
    <phoneticPr fontId="21" type="noConversion"/>
  </si>
  <si>
    <t>货币+</t>
    <phoneticPr fontId="21" type="noConversion"/>
  </si>
  <si>
    <t>014460.OF</t>
    <phoneticPr fontId="21" type="noConversion"/>
  </si>
  <si>
    <t>CS医药创新（931484）</t>
    <phoneticPr fontId="21" type="noConversion"/>
  </si>
  <si>
    <t>新能源车（930997）</t>
    <phoneticPr fontId="21" type="noConversion"/>
  </si>
  <si>
    <t>007935.OF</t>
    <phoneticPr fontId="21" type="noConversion"/>
  </si>
  <si>
    <t>平安惠澜纯债A
（007935）</t>
    <phoneticPr fontId="21" type="noConversion"/>
  </si>
  <si>
    <t>张文平</t>
    <phoneticPr fontId="21" type="noConversion"/>
  </si>
  <si>
    <t>平安睿享文娱
（002450）</t>
    <phoneticPr fontId="21" type="noConversion"/>
  </si>
  <si>
    <t>近三月</t>
    <phoneticPr fontId="21" type="noConversion"/>
  </si>
  <si>
    <t>持营池产品</t>
    <phoneticPr fontId="21" type="noConversion"/>
  </si>
  <si>
    <t>015645.OF</t>
  </si>
  <si>
    <t>平安同业存单
（015645）</t>
  </si>
  <si>
    <t>段玮婧</t>
  </si>
  <si>
    <t>013767.OF</t>
    <phoneticPr fontId="21" type="noConversion"/>
  </si>
  <si>
    <t>平安价值回报A
（013767）</t>
    <phoneticPr fontId="21" type="noConversion"/>
  </si>
  <si>
    <t>刘杰</t>
    <phoneticPr fontId="21" type="noConversion"/>
  </si>
  <si>
    <t>核心公募产品</t>
    <phoneticPr fontId="21" type="noConversion"/>
  </si>
  <si>
    <t>证券代码</t>
  </si>
  <si>
    <t>证券简称</t>
  </si>
  <si>
    <t>基金净值日期[日期] 最新收盘日</t>
  </si>
  <si>
    <t>单位净值[交易日期] 最新收盘日[单位] 元</t>
  </si>
  <si>
    <t>当期复权单位净值增长率[交易日期] 最新收盘日[单位] %</t>
  </si>
  <si>
    <t>复权单位净值增长率[起始交易日期] 截止日1月前[截止交易日期] 最新[单位] %</t>
  </si>
  <si>
    <t>今年以来回报[是否年化] 否[交易日期] 最新[单位] %</t>
  </si>
  <si>
    <t>516760.SH</t>
  </si>
  <si>
    <t>养殖ETF</t>
  </si>
  <si>
    <t>516820.SH</t>
  </si>
  <si>
    <t>医疗创新ETF</t>
  </si>
  <si>
    <t>515700.SH</t>
  </si>
  <si>
    <t>新能车ETF</t>
  </si>
  <si>
    <t>561600.SH</t>
  </si>
  <si>
    <t>消费电子ETF</t>
  </si>
  <si>
    <t>平安同业存单
（015645）</t>
    <phoneticPr fontId="21" type="noConversion"/>
  </si>
  <si>
    <t>1、全市场独家覆盖三大医疗黄金赛道ETF“创新药”+“医疗器械”+“医疗服务”
2、指数大幅调整，估值风险不断释放</t>
    <phoneticPr fontId="21" type="noConversion"/>
  </si>
  <si>
    <t>1、优选新能源产业龙头企业
2、新能源产业趋势确定性强，长期投资逻辑清晰</t>
    <phoneticPr fontId="21" type="noConversion"/>
  </si>
  <si>
    <t>1、一键布局“芯片”“5G”“VR/AR”
2、等待消费需求回暖带来的行业拐点</t>
    <phoneticPr fontId="21" type="noConversion"/>
  </si>
  <si>
    <t>存单</t>
    <phoneticPr fontId="21" type="noConversion"/>
  </si>
  <si>
    <t>Precent</t>
    <phoneticPr fontId="21" type="noConversion"/>
  </si>
  <si>
    <t>Price</t>
    <phoneticPr fontId="21" type="noConversion"/>
  </si>
  <si>
    <t>证券简称</t>
    <phoneticPr fontId="25" type="noConversion"/>
  </si>
  <si>
    <t>516760.OF</t>
  </si>
  <si>
    <t>516820.OF</t>
  </si>
  <si>
    <t>515700.OF</t>
  </si>
  <si>
    <t>561600.OF</t>
  </si>
  <si>
    <t>002450.OF</t>
    <phoneticPr fontId="25" type="noConversion"/>
  </si>
  <si>
    <t>平安睿享文娱A</t>
    <phoneticPr fontId="25" type="noConversion"/>
  </si>
  <si>
    <t>004827.OF</t>
    <phoneticPr fontId="25" type="noConversion"/>
  </si>
  <si>
    <t>平安中短债A</t>
    <phoneticPr fontId="25" type="noConversion"/>
  </si>
  <si>
    <t>015645.OF</t>
    <phoneticPr fontId="25" type="noConversion"/>
  </si>
  <si>
    <t>平安同业存单指数7天持有</t>
    <phoneticPr fontId="25" type="noConversion"/>
  </si>
  <si>
    <t>008694.OF</t>
    <phoneticPr fontId="25" type="noConversion"/>
  </si>
  <si>
    <t>平安元盛超短债A</t>
    <phoneticPr fontId="25" type="noConversion"/>
  </si>
  <si>
    <t>005754.OF</t>
    <phoneticPr fontId="25" type="noConversion"/>
  </si>
  <si>
    <t>平安短债A</t>
    <phoneticPr fontId="25" type="noConversion"/>
  </si>
  <si>
    <t>700003.OF</t>
    <phoneticPr fontId="25" type="noConversion"/>
  </si>
  <si>
    <t>平安策略先锋</t>
    <phoneticPr fontId="25" type="noConversion"/>
  </si>
  <si>
    <t>000739.OF</t>
    <phoneticPr fontId="25" type="noConversion"/>
  </si>
  <si>
    <t>平安新鑫先锋A</t>
    <phoneticPr fontId="25" type="noConversion"/>
  </si>
  <si>
    <t>007935.OF</t>
    <phoneticPr fontId="25" type="noConversion"/>
  </si>
  <si>
    <t>平安惠澜纯债A</t>
    <phoneticPr fontId="25" type="noConversion"/>
  </si>
  <si>
    <t>009661.OF</t>
    <phoneticPr fontId="25" type="noConversion"/>
  </si>
  <si>
    <t>平安研究睿选A</t>
    <phoneticPr fontId="25" type="noConversion"/>
  </si>
  <si>
    <t>009878.OF</t>
    <phoneticPr fontId="25" type="noConversion"/>
  </si>
  <si>
    <t>平安低碳经济A</t>
    <phoneticPr fontId="25" type="noConversion"/>
  </si>
  <si>
    <t>010126.OF</t>
    <phoneticPr fontId="25" type="noConversion"/>
  </si>
  <si>
    <t>平安价值成长A</t>
    <phoneticPr fontId="25" type="noConversion"/>
  </si>
  <si>
    <t>014460.OF</t>
    <phoneticPr fontId="25" type="noConversion"/>
  </si>
  <si>
    <t>平安品质优选A</t>
    <phoneticPr fontId="25" type="noConversion"/>
  </si>
  <si>
    <t>013767.OF</t>
    <phoneticPr fontId="25" type="noConversion"/>
  </si>
  <si>
    <t>平安价值回报A</t>
    <phoneticPr fontId="25" type="noConversion"/>
  </si>
  <si>
    <t>013687.OF</t>
    <phoneticPr fontId="25" type="noConversion"/>
  </si>
  <si>
    <t>平安成长龙头1年持有A</t>
    <phoneticPr fontId="25" type="noConversion"/>
  </si>
  <si>
    <t>004390.OF</t>
    <phoneticPr fontId="25" type="noConversion"/>
  </si>
  <si>
    <t>平安转型创新A</t>
    <phoneticPr fontId="25" type="noConversion"/>
  </si>
  <si>
    <t>012475.OF</t>
    <phoneticPr fontId="25" type="noConversion"/>
  </si>
  <si>
    <t>平安优质企业A</t>
    <phoneticPr fontId="25" type="noConversion"/>
  </si>
  <si>
    <t>007893.OF</t>
    <phoneticPr fontId="25" type="noConversion"/>
  </si>
  <si>
    <t>平安估值精选A</t>
    <phoneticPr fontId="25" type="noConversion"/>
  </si>
  <si>
    <t>885001.WI</t>
    <phoneticPr fontId="25" type="noConversion"/>
  </si>
  <si>
    <t>万得偏股混合型基金指数</t>
    <phoneticPr fontId="25" type="noConversion"/>
  </si>
  <si>
    <t>基金净值日期</t>
  </si>
  <si>
    <t>当期复权单位净值增长率</t>
  </si>
  <si>
    <t>近1周回报</t>
  </si>
  <si>
    <t>近1月回报</t>
  </si>
  <si>
    <t>存单</t>
  </si>
  <si>
    <t>近一周</t>
    <phoneticPr fontId="21" type="noConversion"/>
  </si>
  <si>
    <t>516760.OF</t>
    <phoneticPr fontId="21" type="noConversion"/>
  </si>
  <si>
    <t>养殖ETF</t>
    <phoneticPr fontId="21" type="noConversion"/>
  </si>
  <si>
    <t>516820.OF</t>
    <phoneticPr fontId="21" type="noConversion"/>
  </si>
  <si>
    <t>医疗创新ETF</t>
    <phoneticPr fontId="21" type="noConversion"/>
  </si>
  <si>
    <t>515700.OF</t>
    <phoneticPr fontId="21" type="noConversion"/>
  </si>
  <si>
    <t>新能车ETF</t>
    <phoneticPr fontId="21" type="noConversion"/>
  </si>
  <si>
    <t>561600.OF</t>
    <phoneticPr fontId="21" type="noConversion"/>
  </si>
  <si>
    <t>消费电子ETF</t>
    <phoneticPr fontId="21" type="noConversion"/>
  </si>
  <si>
    <r>
      <t>2.3269
（较昨日：</t>
    </r>
    <r>
      <rPr>
        <b/>
        <sz val="18"/>
        <color rgb="FFFF0000"/>
        <rFont val="微软雅黑"/>
        <family val="2"/>
        <charset val="134"/>
      </rPr>
      <t>1.58%</t>
    </r>
    <r>
      <rPr>
        <b/>
        <sz val="18"/>
        <color theme="1"/>
        <rFont val="微软雅黑"/>
        <family val="2"/>
        <charset val="134"/>
      </rPr>
      <t>)</t>
    </r>
  </si>
  <si>
    <r>
      <t>0.6995
（较昨日：</t>
    </r>
    <r>
      <rPr>
        <b/>
        <sz val="18"/>
        <color rgb="FFFF0000"/>
        <rFont val="微软雅黑"/>
        <family val="2"/>
        <charset val="134"/>
      </rPr>
      <t>0.95%</t>
    </r>
    <r>
      <rPr>
        <b/>
        <sz val="18"/>
        <color theme="1"/>
        <rFont val="微软雅黑"/>
        <family val="2"/>
        <charset val="134"/>
      </rPr>
      <t>)</t>
    </r>
  </si>
  <si>
    <r>
      <t xml:space="preserve">近七天年化：
</t>
    </r>
    <r>
      <rPr>
        <b/>
        <sz val="16"/>
        <color rgb="FFFF0000"/>
        <rFont val="微软雅黑"/>
        <family val="2"/>
        <charset val="134"/>
      </rPr>
      <t>1.05%</t>
    </r>
  </si>
  <si>
    <r>
      <t>0.8888
（较昨日：</t>
    </r>
    <r>
      <rPr>
        <b/>
        <sz val="18"/>
        <color rgb="FFFF0000"/>
        <rFont val="微软雅黑"/>
        <family val="2"/>
        <charset val="134"/>
      </rPr>
      <t>1.37%</t>
    </r>
    <r>
      <rPr>
        <b/>
        <sz val="18"/>
        <color theme="1"/>
        <rFont val="微软雅黑"/>
        <family val="2"/>
        <charset val="134"/>
      </rPr>
      <t>)</t>
    </r>
  </si>
  <si>
    <r>
      <t>0.6660
（较昨日：</t>
    </r>
    <r>
      <rPr>
        <b/>
        <sz val="18"/>
        <color rgb="FFFF0000"/>
        <rFont val="微软雅黑"/>
        <family val="2"/>
        <charset val="134"/>
      </rPr>
      <t>1.48%</t>
    </r>
    <r>
      <rPr>
        <b/>
        <sz val="18"/>
        <color theme="1"/>
        <rFont val="微软雅黑"/>
        <family val="2"/>
        <charset val="134"/>
      </rPr>
      <t>)</t>
    </r>
  </si>
  <si>
    <t>011828.OF</t>
    <phoneticPr fontId="21" type="noConversion"/>
  </si>
  <si>
    <t>平安睿享成长
（011828）</t>
    <phoneticPr fontId="21" type="noConversion"/>
  </si>
  <si>
    <t>011828.OF</t>
  </si>
  <si>
    <t>平安睿享成长A</t>
  </si>
  <si>
    <t>015510.OF</t>
  </si>
  <si>
    <t>平安价值领航A</t>
  </si>
  <si>
    <t>平安价值领航A
（015510）</t>
    <phoneticPr fontId="21" type="noConversion"/>
  </si>
  <si>
    <t>警告：下面是缓存区</t>
    <phoneticPr fontId="21" type="noConversion"/>
  </si>
  <si>
    <r>
      <t xml:space="preserve">1.0167
</t>
    </r>
    <r>
      <rPr>
        <b/>
        <sz val="12"/>
        <color theme="1"/>
        <rFont val="微软雅黑"/>
        <family val="2"/>
        <charset val="134"/>
      </rPr>
      <t>数据截至2022/12/09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</si>
</sst>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##,###,##0.0000"/>
    <numFmt numFmtId="177" formatCode="0.0000_);[Red]\(0.0000\)"/>
    <numFmt numFmtId="178" formatCode="0.0000_ "/>
    <numFmt numFmtId="179" formatCode="yyyy\-mm\-dd"/>
    <numFmt numFmtId="180" formatCode="###,###,###,##0.0000"/>
    <numFmt numFmtId="181" formatCode="0.00_);[Red]\(0.00\)"/>
    <numFmt numFmtId="182" formatCode="0.00_ "/>
  </numFmts>
  <fonts count="33" x14ac:knownFonts="1">
    <font>
      <sz val="11"/>
      <color theme="1"/>
      <name val="等线"/>
      <charset val="134"/>
      <scheme val="minor"/>
    </font>
    <font>
      <sz val="11"/>
      <color theme="1"/>
      <name val="等线"/>
      <family val="2"/>
      <scheme val="minor"/>
    </font>
    <font>
      <b/>
      <sz val="39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b/>
      <sz val="16"/>
      <color theme="0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6"/>
      <color theme="1"/>
      <name val="微软雅黑"/>
      <family val="2"/>
      <charset val="134"/>
    </font>
    <font>
      <b/>
      <sz val="16"/>
      <name val="微软雅黑"/>
      <family val="2"/>
      <charset val="134"/>
    </font>
    <font>
      <b/>
      <sz val="24"/>
      <color theme="0"/>
      <name val="等线"/>
      <family val="3"/>
      <charset val="134"/>
      <scheme val="minor"/>
    </font>
    <font>
      <sz val="24"/>
      <color rgb="FFFF0000"/>
      <name val="等线"/>
      <family val="3"/>
      <charset val="134"/>
      <scheme val="minor"/>
    </font>
    <font>
      <b/>
      <sz val="18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4"/>
      <name val="微软雅黑"/>
      <family val="2"/>
      <charset val="134"/>
    </font>
    <font>
      <sz val="16"/>
      <color theme="1"/>
      <name val="微软雅黑"/>
      <family val="2"/>
      <charset val="134"/>
    </font>
    <font>
      <b/>
      <sz val="16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40"/>
      <color theme="1"/>
      <name val="微软雅黑"/>
      <family val="2"/>
      <charset val="134"/>
    </font>
    <font>
      <sz val="20"/>
      <color theme="1"/>
      <name val="等线"/>
      <family val="3"/>
      <charset val="134"/>
      <scheme val="minor"/>
    </font>
    <font>
      <b/>
      <sz val="26"/>
      <color theme="0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0"/>
      <color theme="1"/>
      <name val="宋体"/>
      <family val="3"/>
      <charset val="134"/>
    </font>
    <font>
      <sz val="9"/>
      <name val="等线"/>
      <family val="3"/>
      <charset val="134"/>
      <scheme val="minor"/>
    </font>
    <font>
      <sz val="22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b/>
      <sz val="18"/>
      <color rgb="FFFF0000"/>
      <name val="微软雅黑"/>
      <family val="2"/>
      <charset val="134"/>
    </font>
    <font>
      <sz val="48"/>
      <color rgb="FF00B050"/>
      <name val="等线"/>
      <family val="3"/>
      <charset val="134"/>
      <scheme val="minor"/>
    </font>
    <font>
      <sz val="48"/>
      <color rgb="FFFF0000"/>
      <name val="等线"/>
      <family val="3"/>
      <charset val="134"/>
      <scheme val="minor"/>
    </font>
    <font>
      <b/>
      <sz val="16"/>
      <color rgb="FFFF0000"/>
      <name val="微软雅黑"/>
      <family val="2"/>
      <charset val="134"/>
    </font>
    <font>
      <b/>
      <sz val="12"/>
      <color theme="1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  <fill>
      <patternFill patternType="solid">
        <fgColor rgb="FFFF8B4B"/>
        <bgColor indexed="64"/>
      </patternFill>
    </fill>
    <fill>
      <patternFill patternType="solid">
        <fgColor rgb="FFFFBC65"/>
        <bgColor indexed="64"/>
      </patternFill>
    </fill>
    <fill>
      <patternFill patternType="solid">
        <fgColor rgb="FFFEB5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766"/>
        <bgColor indexed="64"/>
      </patternFill>
    </fill>
    <fill>
      <patternFill patternType="solid">
        <fgColor rgb="FFFECE67"/>
        <bgColor indexed="64"/>
      </patternFill>
    </fill>
    <fill>
      <patternFill patternType="solid">
        <fgColor rgb="FFFCBC68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">
    <xf numFmtId="0" fontId="0" fillId="0" borderId="0" applyBorder="0"/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 applyBorder="0"/>
    <xf numFmtId="0" fontId="20" fillId="0" borderId="0" applyBorder="0">
      <alignment vertical="center"/>
    </xf>
    <xf numFmtId="0" fontId="1" fillId="0" borderId="0"/>
  </cellStyleXfs>
  <cellXfs count="138">
    <xf numFmtId="0" fontId="0" fillId="0" borderId="0" xfId="0"/>
    <xf numFmtId="0" fontId="3" fillId="2" borderId="5" xfId="0" applyFont="1" applyFill="1" applyBorder="1"/>
    <xf numFmtId="0" fontId="4" fillId="2" borderId="6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177" fontId="4" fillId="2" borderId="5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4" fontId="5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 wrapText="1"/>
    </xf>
    <xf numFmtId="178" fontId="6" fillId="0" borderId="5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10" fontId="6" fillId="0" borderId="0" xfId="0" applyNumberFormat="1" applyFont="1" applyAlignment="1">
      <alignment horizontal="center" vertical="center"/>
    </xf>
    <xf numFmtId="0" fontId="4" fillId="5" borderId="5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49" fontId="15" fillId="0" borderId="0" xfId="0" applyNumberFormat="1" applyFont="1" applyAlignment="1">
      <alignment horizontal="center" vertical="center" wrapText="1"/>
    </xf>
    <xf numFmtId="177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10" fontId="7" fillId="7" borderId="10" xfId="1" applyNumberFormat="1" applyFont="1" applyFill="1" applyBorder="1" applyAlignment="1">
      <alignment horizontal="center" vertical="center"/>
    </xf>
    <xf numFmtId="0" fontId="0" fillId="7" borderId="0" xfId="0" applyFill="1"/>
    <xf numFmtId="0" fontId="4" fillId="4" borderId="5" xfId="0" applyFont="1" applyFill="1" applyBorder="1" applyAlignment="1">
      <alignment horizontal="center" vertical="center" wrapText="1"/>
    </xf>
    <xf numFmtId="10" fontId="7" fillId="7" borderId="5" xfId="1" applyNumberFormat="1" applyFont="1" applyFill="1" applyBorder="1" applyAlignment="1">
      <alignment horizontal="center" vertical="center"/>
    </xf>
    <xf numFmtId="10" fontId="7" fillId="0" borderId="10" xfId="1" applyNumberFormat="1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10" fontId="10" fillId="0" borderId="5" xfId="1" applyNumberFormat="1" applyFont="1" applyFill="1" applyBorder="1" applyAlignment="1">
      <alignment horizontal="center" vertical="center"/>
    </xf>
    <xf numFmtId="10" fontId="7" fillId="7" borderId="0" xfId="1" applyNumberFormat="1" applyFont="1" applyFill="1" applyBorder="1" applyAlignment="1">
      <alignment horizontal="center" vertical="center"/>
    </xf>
    <xf numFmtId="176" fontId="5" fillId="0" borderId="5" xfId="0" applyNumberFormat="1" applyFont="1" applyBorder="1" applyAlignment="1">
      <alignment horizontal="center" vertical="center"/>
    </xf>
    <xf numFmtId="10" fontId="7" fillId="0" borderId="0" xfId="1" applyNumberFormat="1" applyFont="1" applyFill="1" applyBorder="1" applyAlignment="1">
      <alignment horizontal="center" vertical="center"/>
    </xf>
    <xf numFmtId="0" fontId="17" fillId="0" borderId="0" xfId="0" applyFont="1"/>
    <xf numFmtId="10" fontId="7" fillId="0" borderId="5" xfId="1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4" borderId="7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0" fillId="0" borderId="0" xfId="0" applyFont="1"/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1" fillId="0" borderId="5" xfId="0" applyFont="1" applyBorder="1" applyAlignment="1">
      <alignment horizontal="left" vertical="center" wrapText="1"/>
    </xf>
    <xf numFmtId="0" fontId="22" fillId="7" borderId="0" xfId="0" applyFont="1" applyFill="1" applyAlignment="1">
      <alignment horizontal="center" vertical="center"/>
    </xf>
    <xf numFmtId="0" fontId="5" fillId="7" borderId="12" xfId="0" applyFont="1" applyFill="1" applyBorder="1" applyAlignment="1">
      <alignment horizontal="center" vertical="center" wrapText="1"/>
    </xf>
    <xf numFmtId="14" fontId="5" fillId="7" borderId="7" xfId="0" applyNumberFormat="1" applyFont="1" applyFill="1" applyBorder="1" applyAlignment="1">
      <alignment horizontal="center" vertical="center" wrapText="1"/>
    </xf>
    <xf numFmtId="178" fontId="6" fillId="7" borderId="7" xfId="0" applyNumberFormat="1" applyFont="1" applyFill="1" applyBorder="1" applyAlignment="1">
      <alignment horizontal="center" vertical="center" wrapText="1"/>
    </xf>
    <xf numFmtId="10" fontId="6" fillId="7" borderId="5" xfId="0" applyNumberFormat="1" applyFont="1" applyFill="1" applyBorder="1" applyAlignment="1">
      <alignment horizontal="center" vertical="center"/>
    </xf>
    <xf numFmtId="10" fontId="7" fillId="7" borderId="7" xfId="1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 wrapText="1"/>
    </xf>
    <xf numFmtId="10" fontId="6" fillId="7" borderId="0" xfId="0" applyNumberFormat="1" applyFont="1" applyFill="1" applyAlignment="1">
      <alignment horizontal="center" vertical="center"/>
    </xf>
    <xf numFmtId="0" fontId="5" fillId="7" borderId="6" xfId="0" applyFont="1" applyFill="1" applyBorder="1" applyAlignment="1">
      <alignment horizontal="center" vertical="center" wrapText="1"/>
    </xf>
    <xf numFmtId="14" fontId="5" fillId="7" borderId="5" xfId="0" applyNumberFormat="1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0" fillId="7" borderId="0" xfId="0" applyFill="1" applyAlignment="1">
      <alignment vertical="center"/>
    </xf>
    <xf numFmtId="0" fontId="24" fillId="7" borderId="0" xfId="0" applyFont="1" applyFill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vertical="center" wrapText="1"/>
    </xf>
    <xf numFmtId="14" fontId="0" fillId="0" borderId="0" xfId="0" applyNumberFormat="1"/>
    <xf numFmtId="10" fontId="0" fillId="0" borderId="0" xfId="1" applyNumberFormat="1" applyFont="1" applyAlignment="1"/>
    <xf numFmtId="10" fontId="6" fillId="0" borderId="5" xfId="1" applyNumberFormat="1" applyFont="1" applyBorder="1" applyAlignment="1">
      <alignment horizontal="center" vertical="center"/>
    </xf>
    <xf numFmtId="0" fontId="26" fillId="0" borderId="0" xfId="0" applyFont="1" applyAlignment="1">
      <alignment wrapText="1"/>
    </xf>
    <xf numFmtId="0" fontId="26" fillId="0" borderId="0" xfId="0" applyFont="1"/>
    <xf numFmtId="14" fontId="26" fillId="0" borderId="0" xfId="0" applyNumberFormat="1" applyFont="1"/>
    <xf numFmtId="0" fontId="27" fillId="0" borderId="0" xfId="0" applyFont="1"/>
    <xf numFmtId="14" fontId="27" fillId="0" borderId="0" xfId="0" applyNumberFormat="1" applyFont="1"/>
    <xf numFmtId="0" fontId="4" fillId="5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79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2" fontId="27" fillId="0" borderId="0" xfId="0" applyNumberFormat="1" applyFont="1"/>
    <xf numFmtId="2" fontId="5" fillId="0" borderId="9" xfId="0" applyNumberFormat="1" applyFont="1" applyBorder="1" applyAlignment="1">
      <alignment horizontal="center" vertical="center" wrapText="1"/>
    </xf>
    <xf numFmtId="0" fontId="29" fillId="0" borderId="0" xfId="0" applyFont="1"/>
    <xf numFmtId="0" fontId="30" fillId="0" borderId="0" xfId="0" applyFont="1"/>
    <xf numFmtId="0" fontId="0" fillId="0" borderId="0" xfId="0" applyAlignment="1">
      <alignment horizontal="center" wrapText="1"/>
    </xf>
    <xf numFmtId="0" fontId="20" fillId="0" borderId="0" xfId="0" applyFont="1" applyAlignment="1">
      <alignment horizontal="center" wrapText="1"/>
    </xf>
    <xf numFmtId="181" fontId="0" fillId="0" borderId="0" xfId="0" applyNumberFormat="1"/>
    <xf numFmtId="182" fontId="0" fillId="0" borderId="0" xfId="1" applyNumberFormat="1" applyFont="1" applyAlignment="1">
      <alignment horizontal="center"/>
    </xf>
    <xf numFmtId="180" fontId="6" fillId="0" borderId="5" xfId="1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/>
    </xf>
    <xf numFmtId="176" fontId="5" fillId="0" borderId="5" xfId="0" applyNumberFormat="1" applyFont="1" applyBorder="1" applyAlignment="1">
      <alignment horizontal="center" vertical="center" wrapText="1"/>
    </xf>
    <xf numFmtId="176" fontId="2" fillId="0" borderId="1" xfId="0" applyNumberFormat="1" applyFont="1" applyBorder="1" applyAlignment="1">
      <alignment horizontal="center"/>
    </xf>
    <xf numFmtId="176" fontId="2" fillId="0" borderId="2" xfId="0" applyNumberFormat="1" applyFont="1" applyBorder="1" applyAlignment="1">
      <alignment horizontal="center"/>
    </xf>
    <xf numFmtId="176" fontId="2" fillId="0" borderId="12" xfId="0" applyNumberFormat="1" applyFont="1" applyBorder="1" applyAlignment="1">
      <alignment horizontal="center"/>
    </xf>
    <xf numFmtId="176" fontId="2" fillId="0" borderId="3" xfId="0" applyNumberFormat="1" applyFont="1" applyBorder="1" applyAlignment="1">
      <alignment horizontal="center"/>
    </xf>
    <xf numFmtId="176" fontId="2" fillId="0" borderId="4" xfId="0" applyNumberFormat="1" applyFont="1" applyBorder="1" applyAlignment="1">
      <alignment horizontal="center"/>
    </xf>
    <xf numFmtId="176" fontId="2" fillId="0" borderId="13" xfId="0" applyNumberFormat="1" applyFont="1" applyBorder="1" applyAlignment="1">
      <alignment horizontal="center"/>
    </xf>
    <xf numFmtId="0" fontId="12" fillId="6" borderId="9" xfId="0" applyFont="1" applyFill="1" applyBorder="1" applyAlignment="1">
      <alignment horizontal="left" vertical="center" wrapText="1"/>
    </xf>
    <xf numFmtId="0" fontId="12" fillId="6" borderId="6" xfId="0" applyFont="1" applyFill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13" fillId="0" borderId="9" xfId="0" applyFont="1" applyBorder="1" applyAlignment="1">
      <alignment horizontal="right" vertical="center"/>
    </xf>
    <xf numFmtId="0" fontId="13" fillId="0" borderId="14" xfId="0" applyFont="1" applyBorder="1" applyAlignment="1">
      <alignment horizontal="right" vertical="center"/>
    </xf>
    <xf numFmtId="0" fontId="13" fillId="0" borderId="6" xfId="0" applyFont="1" applyBorder="1" applyAlignment="1">
      <alignment horizontal="right" vertical="center"/>
    </xf>
    <xf numFmtId="0" fontId="4" fillId="8" borderId="7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14" fontId="5" fillId="0" borderId="9" xfId="0" applyNumberFormat="1" applyFont="1" applyBorder="1" applyAlignment="1">
      <alignment horizontal="center"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58" fontId="5" fillId="0" borderId="9" xfId="0" applyNumberFormat="1" applyFont="1" applyBorder="1" applyAlignment="1">
      <alignment horizontal="center" vertical="center" wrapText="1"/>
    </xf>
    <xf numFmtId="58" fontId="5" fillId="0" borderId="6" xfId="0" applyNumberFormat="1" applyFont="1" applyBorder="1" applyAlignment="1">
      <alignment horizontal="center" vertical="center" wrapText="1"/>
    </xf>
    <xf numFmtId="0" fontId="18" fillId="2" borderId="9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14" fontId="5" fillId="0" borderId="9" xfId="0" applyNumberFormat="1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10" borderId="7" xfId="0" applyFont="1" applyFill="1" applyBorder="1" applyAlignment="1">
      <alignment horizontal="center" vertical="center" wrapText="1"/>
    </xf>
    <xf numFmtId="0" fontId="4" fillId="10" borderId="8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4" fillId="9" borderId="10" xfId="0" applyFont="1" applyFill="1" applyBorder="1" applyAlignment="1">
      <alignment horizontal="center" vertical="center" wrapText="1"/>
    </xf>
    <xf numFmtId="0" fontId="4" fillId="9" borderId="3" xfId="0" applyFont="1" applyFill="1" applyBorder="1" applyAlignment="1">
      <alignment horizontal="center" vertical="center" wrapText="1"/>
    </xf>
    <xf numFmtId="176" fontId="16" fillId="0" borderId="2" xfId="0" applyNumberFormat="1" applyFont="1" applyBorder="1" applyAlignment="1">
      <alignment horizontal="center"/>
    </xf>
    <xf numFmtId="176" fontId="16" fillId="0" borderId="3" xfId="0" applyNumberFormat="1" applyFont="1" applyBorder="1" applyAlignment="1">
      <alignment horizontal="center"/>
    </xf>
    <xf numFmtId="176" fontId="16" fillId="0" borderId="4" xfId="0" applyNumberFormat="1" applyFont="1" applyBorder="1" applyAlignment="1">
      <alignment horizontal="center"/>
    </xf>
    <xf numFmtId="0" fontId="4" fillId="5" borderId="7" xfId="0" applyFont="1" applyFill="1" applyBorder="1" applyAlignment="1">
      <alignment horizontal="center" vertical="center" wrapText="1"/>
    </xf>
    <xf numFmtId="0" fontId="4" fillId="5" borderId="11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</cellXfs>
  <cellStyles count="6">
    <cellStyle name="百分比" xfId="1" builtinId="5"/>
    <cellStyle name="百分比 2" xfId="2" xr:uid="{00000000-0005-0000-0000-000001000000}"/>
    <cellStyle name="常规" xfId="0" builtinId="0"/>
    <cellStyle name="常规 2" xfId="3" xr:uid="{00000000-0005-0000-0000-000003000000}"/>
    <cellStyle name="常规 3" xfId="4" xr:uid="{00000000-0005-0000-0000-000004000000}"/>
    <cellStyle name="常规 4" xfId="5" xr:uid="{49F53FD4-D0DD-4368-A5C2-E3A42889661B}"/>
  </cellStyles>
  <dxfs count="69"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</dxfs>
  <tableStyles count="0" defaultTableStyle="TableStyleMedium2"/>
  <colors>
    <mruColors>
      <color rgb="FFFF0000"/>
      <color rgb="FFFF7C80"/>
      <color rgb="FFFF9933"/>
      <color rgb="FFFFA766"/>
      <color rgb="FFFF8B4B"/>
      <color rgb="FFFCBC68"/>
      <color rgb="FFFEB566"/>
      <color rgb="FFFFDC66"/>
      <color rgb="FFFECE67"/>
      <color rgb="FFFFBC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57149</xdr:colOff>
      <xdr:row>0</xdr:row>
      <xdr:rowOff>18415</xdr:rowOff>
    </xdr:from>
    <xdr:to>
      <xdr:col>2</xdr:col>
      <xdr:colOff>535304</xdr:colOff>
      <xdr:row>0</xdr:row>
      <xdr:rowOff>552450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09837" y="18415"/>
          <a:ext cx="1668780" cy="5340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1398270</xdr:colOff>
      <xdr:row>0</xdr:row>
      <xdr:rowOff>7620</xdr:rowOff>
    </xdr:from>
    <xdr:to>
      <xdr:col>8</xdr:col>
      <xdr:colOff>1559560</xdr:colOff>
      <xdr:row>0</xdr:row>
      <xdr:rowOff>507365</xdr:rowOff>
    </xdr:to>
    <xdr:pic>
      <xdr:nvPicPr>
        <xdr:cNvPr id="2" name="图片 4" descr="https://img.sj33.cn/uploads/allimg/201402/7-140206231A9105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70" t="33333" r="7996" b="34874"/>
        <a:stretch>
          <a:fillRect/>
        </a:stretch>
      </xdr:blipFill>
      <xdr:spPr>
        <a:xfrm>
          <a:off x="16003270" y="7620"/>
          <a:ext cx="2015490" cy="499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38735</xdr:colOff>
      <xdr:row>0</xdr:row>
      <xdr:rowOff>1270</xdr:rowOff>
    </xdr:from>
    <xdr:to>
      <xdr:col>2</xdr:col>
      <xdr:colOff>407670</xdr:colOff>
      <xdr:row>0</xdr:row>
      <xdr:rowOff>496570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4185" y="1270"/>
          <a:ext cx="144907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146685</xdr:colOff>
      <xdr:row>0</xdr:row>
      <xdr:rowOff>20955</xdr:rowOff>
    </xdr:from>
    <xdr:to>
      <xdr:col>9</xdr:col>
      <xdr:colOff>26035</xdr:colOff>
      <xdr:row>0</xdr:row>
      <xdr:rowOff>377825</xdr:rowOff>
    </xdr:to>
    <xdr:pic>
      <xdr:nvPicPr>
        <xdr:cNvPr id="4" name="图片 3" descr="1635475127(1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1125" y="20955"/>
          <a:ext cx="1534795" cy="3568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38735</xdr:colOff>
      <xdr:row>0</xdr:row>
      <xdr:rowOff>1270</xdr:rowOff>
    </xdr:from>
    <xdr:to>
      <xdr:col>2</xdr:col>
      <xdr:colOff>407670</xdr:colOff>
      <xdr:row>0</xdr:row>
      <xdr:rowOff>496570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5" y="127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1579880</xdr:colOff>
      <xdr:row>0</xdr:row>
      <xdr:rowOff>7620</xdr:rowOff>
    </xdr:from>
    <xdr:to>
      <xdr:col>9</xdr:col>
      <xdr:colOff>0</xdr:colOff>
      <xdr:row>0</xdr:row>
      <xdr:rowOff>423545</xdr:rowOff>
    </xdr:to>
    <xdr:pic>
      <xdr:nvPicPr>
        <xdr:cNvPr id="4" name="图片 3" descr="1637561130(1)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03880" y="7620"/>
          <a:ext cx="2128520" cy="4197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1642745</xdr:colOff>
      <xdr:row>0</xdr:row>
      <xdr:rowOff>635</xdr:rowOff>
    </xdr:from>
    <xdr:to>
      <xdr:col>8</xdr:col>
      <xdr:colOff>1607185</xdr:colOff>
      <xdr:row>0</xdr:row>
      <xdr:rowOff>418465</xdr:rowOff>
    </xdr:to>
    <xdr:pic>
      <xdr:nvPicPr>
        <xdr:cNvPr id="3" name="图片 2" descr="1635475254(1)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46025" y="635"/>
          <a:ext cx="1629410" cy="41783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1421765</xdr:colOff>
      <xdr:row>0</xdr:row>
      <xdr:rowOff>635</xdr:rowOff>
    </xdr:from>
    <xdr:to>
      <xdr:col>8</xdr:col>
      <xdr:colOff>1590675</xdr:colOff>
      <xdr:row>0</xdr:row>
      <xdr:rowOff>499745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25045" y="635"/>
          <a:ext cx="1826260" cy="50292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368935</xdr:colOff>
      <xdr:row>0</xdr:row>
      <xdr:rowOff>495300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</xdr:col>
      <xdr:colOff>635</xdr:colOff>
      <xdr:row>0</xdr:row>
      <xdr:rowOff>18415</xdr:rowOff>
    </xdr:from>
    <xdr:to>
      <xdr:col>2</xdr:col>
      <xdr:colOff>529590</xdr:colOff>
      <xdr:row>0</xdr:row>
      <xdr:rowOff>567055</xdr:rowOff>
    </xdr:to>
    <xdr:pic>
      <xdr:nvPicPr>
        <xdr:cNvPr id="2" name="图片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18415"/>
          <a:ext cx="1609090" cy="5467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1591945</xdr:colOff>
      <xdr:row>0</xdr:row>
      <xdr:rowOff>77470</xdr:rowOff>
    </xdr:from>
    <xdr:to>
      <xdr:col>8</xdr:col>
      <xdr:colOff>1597660</xdr:colOff>
      <xdr:row>0</xdr:row>
      <xdr:rowOff>567690</xdr:rowOff>
    </xdr:to>
    <xdr:pic>
      <xdr:nvPicPr>
        <xdr:cNvPr id="6" name="Picture 5" descr="2021-10-28 22:09:26.585000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t="27109" r="1115"/>
        <a:stretch>
          <a:fillRect/>
        </a:stretch>
      </xdr:blipFill>
      <xdr:spPr>
        <a:xfrm>
          <a:off x="15657195" y="77470"/>
          <a:ext cx="1847215" cy="48831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18415</xdr:rowOff>
    </xdr:from>
    <xdr:to>
      <xdr:col>2</xdr:col>
      <xdr:colOff>491490</xdr:colOff>
      <xdr:row>0</xdr:row>
      <xdr:rowOff>560070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8415"/>
          <a:ext cx="1668780" cy="5340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1659255</xdr:colOff>
      <xdr:row>0</xdr:row>
      <xdr:rowOff>59690</xdr:rowOff>
    </xdr:from>
    <xdr:to>
      <xdr:col>8</xdr:col>
      <xdr:colOff>1588135</xdr:colOff>
      <xdr:row>0</xdr:row>
      <xdr:rowOff>490220</xdr:rowOff>
    </xdr:to>
    <xdr:pic>
      <xdr:nvPicPr>
        <xdr:cNvPr id="4" name="图片 3" descr="1635474416(1)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62535" y="59690"/>
          <a:ext cx="1582420" cy="4267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1610995</xdr:colOff>
      <xdr:row>0</xdr:row>
      <xdr:rowOff>1270</xdr:rowOff>
    </xdr:from>
    <xdr:to>
      <xdr:col>8</xdr:col>
      <xdr:colOff>1642745</xdr:colOff>
      <xdr:row>0</xdr:row>
      <xdr:rowOff>524510</xdr:rowOff>
    </xdr:to>
    <xdr:pic>
      <xdr:nvPicPr>
        <xdr:cNvPr id="3" name="图片 2" descr="1635475372(1)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14275" y="1270"/>
          <a:ext cx="1696720" cy="51943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24447</xdr:colOff>
      <xdr:row>0</xdr:row>
      <xdr:rowOff>635</xdr:rowOff>
    </xdr:from>
    <xdr:to>
      <xdr:col>2</xdr:col>
      <xdr:colOff>756602</xdr:colOff>
      <xdr:row>0</xdr:row>
      <xdr:rowOff>523875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3138" y="635"/>
          <a:ext cx="1808999" cy="517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1402080</xdr:colOff>
      <xdr:row>0</xdr:row>
      <xdr:rowOff>635</xdr:rowOff>
    </xdr:from>
    <xdr:to>
      <xdr:col>8</xdr:col>
      <xdr:colOff>1569720</xdr:colOff>
      <xdr:row>1</xdr:row>
      <xdr:rowOff>0</xdr:rowOff>
    </xdr:to>
    <xdr:pic>
      <xdr:nvPicPr>
        <xdr:cNvPr id="4" name="图片 3" descr="1636077101(1)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67330" y="635"/>
          <a:ext cx="2012950" cy="53911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203835</xdr:colOff>
      <xdr:row>0</xdr:row>
      <xdr:rowOff>20320</xdr:rowOff>
    </xdr:from>
    <xdr:to>
      <xdr:col>9</xdr:col>
      <xdr:colOff>8024</xdr:colOff>
      <xdr:row>0</xdr:row>
      <xdr:rowOff>450215</xdr:rowOff>
    </xdr:to>
    <xdr:pic>
      <xdr:nvPicPr>
        <xdr:cNvPr id="4" name="图片 3" descr="1635476142(1)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68275" y="20320"/>
          <a:ext cx="1452880" cy="4260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CF2D5-CD27-4D61-B7EF-FAE9F02BB2C3}">
  <sheetPr codeName="Sheet12"/>
  <dimension ref="A1:H31"/>
  <sheetViews>
    <sheetView zoomScale="117" workbookViewId="0">
      <selection activeCell="G20" sqref="G20"/>
    </sheetView>
  </sheetViews>
  <sheetFormatPr defaultColWidth="8.77734375" defaultRowHeight="13.8" x14ac:dyDescent="0.25"/>
  <cols>
    <col min="1" max="1" width="16.44140625" customWidth="1"/>
    <col min="2" max="2" width="26.33203125" customWidth="1"/>
    <col min="3" max="5" width="16.44140625" customWidth="1"/>
    <col min="6" max="6" width="28.88671875" customWidth="1"/>
    <col min="7" max="7" width="16.44140625" customWidth="1"/>
    <col min="8" max="8" width="20.33203125" customWidth="1"/>
    <col min="9" max="9" width="19.88671875" customWidth="1"/>
  </cols>
  <sheetData>
    <row r="1" spans="1:8" ht="51" customHeight="1" x14ac:dyDescent="0.25">
      <c r="A1" s="77" t="s">
        <v>125</v>
      </c>
      <c r="B1" s="78" t="s">
        <v>147</v>
      </c>
      <c r="C1" s="77" t="s">
        <v>127</v>
      </c>
      <c r="D1" s="77" t="s">
        <v>128</v>
      </c>
      <c r="E1" s="77" t="s">
        <v>129</v>
      </c>
      <c r="F1" s="77" t="s">
        <v>130</v>
      </c>
      <c r="G1" s="77" t="s">
        <v>131</v>
      </c>
      <c r="H1" s="77"/>
    </row>
    <row r="2" spans="1:8" x14ac:dyDescent="0.25">
      <c r="A2" s="70" t="s">
        <v>152</v>
      </c>
      <c r="B2" s="70" t="s">
        <v>153</v>
      </c>
      <c r="C2" s="71">
        <v>44896</v>
      </c>
      <c r="D2" s="72">
        <v>2.1619999999999999</v>
      </c>
      <c r="E2" s="72">
        <v>2.319</v>
      </c>
      <c r="F2" s="72">
        <v>-4.6737000000000002</v>
      </c>
      <c r="G2" s="72">
        <v>-15.6128</v>
      </c>
      <c r="H2" s="72">
        <v>-16.266500000000001</v>
      </c>
    </row>
    <row r="3" spans="1:8" x14ac:dyDescent="0.25">
      <c r="A3" s="70" t="s">
        <v>154</v>
      </c>
      <c r="B3" s="70" t="s">
        <v>155</v>
      </c>
      <c r="C3" s="71">
        <v>44896</v>
      </c>
      <c r="D3" s="72">
        <v>1.1434</v>
      </c>
      <c r="E3" s="72">
        <v>-5.2400000000000002E-2</v>
      </c>
      <c r="F3" s="72">
        <v>-0.97860000000000003</v>
      </c>
      <c r="G3" s="72">
        <v>1.8166</v>
      </c>
      <c r="H3" s="72">
        <v>2.1440000000000001</v>
      </c>
    </row>
    <row r="4" spans="1:8" x14ac:dyDescent="0.25">
      <c r="A4" s="70" t="s">
        <v>156</v>
      </c>
      <c r="B4" s="70" t="s">
        <v>157</v>
      </c>
      <c r="C4" s="71">
        <v>44896</v>
      </c>
      <c r="D4" s="72">
        <v>1.0104</v>
      </c>
      <c r="E4" s="72">
        <v>9.9000000000000008E-3</v>
      </c>
      <c r="F4" s="72">
        <v>2.9700000000000001E-2</v>
      </c>
      <c r="G4" s="72">
        <v>1.04</v>
      </c>
      <c r="H4" s="70"/>
    </row>
    <row r="5" spans="1:8" x14ac:dyDescent="0.25">
      <c r="A5" s="70" t="s">
        <v>158</v>
      </c>
      <c r="B5" s="70" t="s">
        <v>159</v>
      </c>
      <c r="C5" s="71">
        <v>44896</v>
      </c>
      <c r="D5" s="72">
        <v>1.0718000000000001</v>
      </c>
      <c r="E5" s="72">
        <v>-9.2999999999999992E-3</v>
      </c>
      <c r="F5" s="72">
        <v>-5.5899999999999998E-2</v>
      </c>
      <c r="G5" s="72">
        <v>1.4674</v>
      </c>
      <c r="H5" s="72">
        <v>1.6792</v>
      </c>
    </row>
    <row r="6" spans="1:8" x14ac:dyDescent="0.25">
      <c r="A6" s="70" t="s">
        <v>160</v>
      </c>
      <c r="B6" s="70" t="s">
        <v>161</v>
      </c>
      <c r="C6" s="71">
        <v>44896</v>
      </c>
      <c r="D6" s="72">
        <v>1.1447000000000001</v>
      </c>
      <c r="E6" s="72">
        <v>-1.7500000000000002E-2</v>
      </c>
      <c r="F6" s="72">
        <v>-0.33950000000000002</v>
      </c>
      <c r="G6" s="72">
        <v>2.2601</v>
      </c>
      <c r="H6" s="72">
        <v>2.5533000000000001</v>
      </c>
    </row>
    <row r="7" spans="1:8" x14ac:dyDescent="0.25">
      <c r="A7" s="70" t="s">
        <v>162</v>
      </c>
      <c r="B7" s="70" t="s">
        <v>163</v>
      </c>
      <c r="C7" s="71">
        <v>44896</v>
      </c>
      <c r="D7" s="72">
        <v>5.4939999999999998</v>
      </c>
      <c r="E7" s="72">
        <v>1.835</v>
      </c>
      <c r="F7" s="72">
        <v>-1.8753</v>
      </c>
      <c r="G7" s="72">
        <v>-15.891</v>
      </c>
      <c r="H7" s="72">
        <v>-18.7639</v>
      </c>
    </row>
    <row r="8" spans="1:8" x14ac:dyDescent="0.25">
      <c r="A8" s="70" t="s">
        <v>164</v>
      </c>
      <c r="B8" s="70" t="s">
        <v>165</v>
      </c>
      <c r="C8" s="71">
        <v>44896</v>
      </c>
      <c r="D8" s="72">
        <v>2.722</v>
      </c>
      <c r="E8" s="72">
        <v>0.92700000000000005</v>
      </c>
      <c r="F8" s="72">
        <v>1.6051</v>
      </c>
      <c r="G8" s="72">
        <v>-11.738</v>
      </c>
      <c r="H8" s="72">
        <v>-16.986899999999999</v>
      </c>
    </row>
    <row r="9" spans="1:8" x14ac:dyDescent="0.25">
      <c r="A9" s="70" t="s">
        <v>166</v>
      </c>
      <c r="B9" s="70" t="s">
        <v>167</v>
      </c>
      <c r="C9" s="71">
        <v>44896</v>
      </c>
      <c r="D9" s="72">
        <v>1.1266</v>
      </c>
      <c r="E9" s="72">
        <v>-2.6599999999999999E-2</v>
      </c>
      <c r="F9" s="72">
        <v>-0.86240000000000006</v>
      </c>
      <c r="G9" s="72">
        <v>2.1951999999999998</v>
      </c>
      <c r="H9" s="72">
        <v>2.8294999999999999</v>
      </c>
    </row>
    <row r="10" spans="1:8" x14ac:dyDescent="0.25">
      <c r="A10" s="70" t="s">
        <v>168</v>
      </c>
      <c r="B10" s="70" t="s">
        <v>169</v>
      </c>
      <c r="C10" s="71">
        <v>44896</v>
      </c>
      <c r="D10" s="72">
        <v>0.89070000000000005</v>
      </c>
      <c r="E10" s="72">
        <v>1.2965</v>
      </c>
      <c r="F10" s="72">
        <v>7.6375000000000002</v>
      </c>
      <c r="G10" s="72">
        <v>-24.465699999999998</v>
      </c>
      <c r="H10" s="72">
        <v>-26.6249</v>
      </c>
    </row>
    <row r="11" spans="1:8" x14ac:dyDescent="0.25">
      <c r="A11" s="70" t="s">
        <v>170</v>
      </c>
      <c r="B11" s="70" t="s">
        <v>171</v>
      </c>
      <c r="C11" s="71">
        <v>44896</v>
      </c>
      <c r="D11" s="72">
        <v>0.97340000000000004</v>
      </c>
      <c r="E11" s="72">
        <v>2.3553999999999999</v>
      </c>
      <c r="F11" s="72">
        <v>9.3461999999999996</v>
      </c>
      <c r="G11" s="72">
        <v>-16.143999999999998</v>
      </c>
      <c r="H11" s="72">
        <v>-19.085599999999999</v>
      </c>
    </row>
    <row r="12" spans="1:8" x14ac:dyDescent="0.25">
      <c r="A12" s="70" t="s">
        <v>172</v>
      </c>
      <c r="B12" s="70" t="s">
        <v>173</v>
      </c>
      <c r="C12" s="71">
        <v>44896</v>
      </c>
      <c r="D12" s="72">
        <v>0.9123</v>
      </c>
      <c r="E12" s="72">
        <v>2.0697999999999999</v>
      </c>
      <c r="F12" s="72">
        <v>-5.2253999999999996</v>
      </c>
      <c r="G12" s="72">
        <v>-23.9496</v>
      </c>
      <c r="H12" s="72">
        <v>-24.6158</v>
      </c>
    </row>
    <row r="13" spans="1:8" x14ac:dyDescent="0.25">
      <c r="A13" s="70" t="s">
        <v>174</v>
      </c>
      <c r="B13" s="70" t="s">
        <v>175</v>
      </c>
      <c r="C13" s="71">
        <v>44896</v>
      </c>
      <c r="D13" s="72">
        <v>0.8962</v>
      </c>
      <c r="E13" s="72">
        <v>1.5985</v>
      </c>
      <c r="F13" s="72">
        <v>-1.8186</v>
      </c>
      <c r="G13" s="72">
        <v>-10.371</v>
      </c>
      <c r="H13" s="70"/>
    </row>
    <row r="14" spans="1:8" x14ac:dyDescent="0.25">
      <c r="A14" s="70" t="s">
        <v>176</v>
      </c>
      <c r="B14" s="70" t="s">
        <v>177</v>
      </c>
      <c r="C14" s="71">
        <v>44896</v>
      </c>
      <c r="D14" s="72">
        <v>0.97330000000000005</v>
      </c>
      <c r="E14" s="72">
        <v>0.1956</v>
      </c>
      <c r="F14" s="72">
        <v>7.4044999999999996</v>
      </c>
      <c r="G14" s="72">
        <v>-2.67</v>
      </c>
      <c r="H14" s="70"/>
    </row>
    <row r="15" spans="1:8" x14ac:dyDescent="0.25">
      <c r="A15" s="70" t="s">
        <v>178</v>
      </c>
      <c r="B15" s="70" t="s">
        <v>179</v>
      </c>
      <c r="C15" s="71">
        <v>44896</v>
      </c>
      <c r="D15" s="72">
        <v>0.77849999999999997</v>
      </c>
      <c r="E15" s="72">
        <v>2.2593000000000001</v>
      </c>
      <c r="F15" s="72">
        <v>-4.7938999999999998</v>
      </c>
      <c r="G15" s="72">
        <v>-21.9236</v>
      </c>
      <c r="H15" s="70">
        <v>-22.15</v>
      </c>
    </row>
    <row r="16" spans="1:8" x14ac:dyDescent="0.25">
      <c r="A16" s="70" t="s">
        <v>180</v>
      </c>
      <c r="B16" s="70" t="s">
        <v>181</v>
      </c>
      <c r="C16" s="71">
        <v>44896</v>
      </c>
      <c r="D16" s="72">
        <v>3.1126</v>
      </c>
      <c r="E16" s="72">
        <v>1.6957</v>
      </c>
      <c r="F16" s="72">
        <v>-1.4345000000000001</v>
      </c>
      <c r="G16" s="72">
        <v>-16.672899999999998</v>
      </c>
      <c r="H16" s="72">
        <v>-19.2225</v>
      </c>
    </row>
    <row r="17" spans="1:8" x14ac:dyDescent="0.25">
      <c r="A17" s="70" t="s">
        <v>182</v>
      </c>
      <c r="B17" s="70" t="s">
        <v>183</v>
      </c>
      <c r="C17" s="71">
        <v>44896</v>
      </c>
      <c r="D17" s="72">
        <v>0.73150000000000004</v>
      </c>
      <c r="E17" s="72">
        <v>0.26040000000000002</v>
      </c>
      <c r="F17" s="72">
        <v>-3.0226999999999999</v>
      </c>
      <c r="G17" s="72">
        <v>-23.6828</v>
      </c>
      <c r="H17" s="72">
        <v>-26.644600000000001</v>
      </c>
    </row>
    <row r="18" spans="1:8" x14ac:dyDescent="0.25">
      <c r="A18" s="70" t="s">
        <v>184</v>
      </c>
      <c r="B18" s="70" t="s">
        <v>185</v>
      </c>
      <c r="C18" s="71">
        <v>44896</v>
      </c>
      <c r="D18" s="72">
        <v>1.2809999999999999</v>
      </c>
      <c r="E18" s="72">
        <v>2.1857000000000002</v>
      </c>
      <c r="F18" s="72">
        <v>-4.8502999999999998</v>
      </c>
      <c r="G18" s="72">
        <v>-21.329000000000001</v>
      </c>
      <c r="H18" s="72">
        <v>-21.656199999999998</v>
      </c>
    </row>
    <row r="19" spans="1:8" x14ac:dyDescent="0.25">
      <c r="A19" s="70" t="s">
        <v>209</v>
      </c>
      <c r="B19" s="82" t="s">
        <v>210</v>
      </c>
      <c r="C19" s="71">
        <v>44904</v>
      </c>
      <c r="D19" s="72">
        <v>0.74690000000000001</v>
      </c>
      <c r="E19" s="72">
        <v>-0.33360000000000001</v>
      </c>
      <c r="F19" s="72">
        <v>-9.8491</v>
      </c>
      <c r="G19" s="72">
        <v>-26.13</v>
      </c>
      <c r="H19" s="72">
        <v>-26.042200000000001</v>
      </c>
    </row>
    <row r="20" spans="1:8" x14ac:dyDescent="0.25">
      <c r="A20" s="70" t="s">
        <v>211</v>
      </c>
      <c r="B20" s="82" t="s">
        <v>212</v>
      </c>
      <c r="C20" s="71">
        <v>44904</v>
      </c>
      <c r="D20" s="72">
        <v>1.0166999999999999</v>
      </c>
      <c r="E20" s="72">
        <v>1.7718</v>
      </c>
      <c r="F20" s="72">
        <v>1.67</v>
      </c>
      <c r="G20" s="72">
        <v>1.67</v>
      </c>
      <c r="H20" s="72"/>
    </row>
    <row r="21" spans="1:8" x14ac:dyDescent="0.25">
      <c r="A21" s="70" t="s">
        <v>186</v>
      </c>
      <c r="B21" s="70" t="s">
        <v>187</v>
      </c>
      <c r="C21" s="71">
        <v>0</v>
      </c>
      <c r="D21" s="72"/>
      <c r="E21" s="72"/>
      <c r="F21" s="72"/>
      <c r="G21" s="72"/>
      <c r="H21" s="70"/>
    </row>
    <row r="23" spans="1:8" x14ac:dyDescent="0.25">
      <c r="E23" s="61"/>
    </row>
    <row r="31" spans="1:8" x14ac:dyDescent="0.25">
      <c r="E31" s="79"/>
    </row>
  </sheetData>
  <phoneticPr fontId="25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4EDF9-FB01-4525-99E6-0FC981432AC1}">
  <sheetPr codeName="Sheet14"/>
  <dimension ref="A1:K19"/>
  <sheetViews>
    <sheetView workbookViewId="0">
      <selection activeCell="D27" sqref="D27"/>
    </sheetView>
  </sheetViews>
  <sheetFormatPr defaultRowHeight="13.8" x14ac:dyDescent="0.25"/>
  <cols>
    <col min="1" max="1" width="10.109375" bestFit="1" customWidth="1"/>
    <col min="2" max="2" width="12.109375" bestFit="1" customWidth="1"/>
    <col min="3" max="3" width="14.109375" customWidth="1"/>
    <col min="4" max="4" width="7.6640625" bestFit="1" customWidth="1"/>
  </cols>
  <sheetData>
    <row r="1" spans="1:11" x14ac:dyDescent="0.25">
      <c r="B1" t="s">
        <v>126</v>
      </c>
      <c r="C1" t="s">
        <v>188</v>
      </c>
      <c r="D1" t="s">
        <v>2</v>
      </c>
      <c r="E1" t="s">
        <v>189</v>
      </c>
      <c r="F1" t="s">
        <v>190</v>
      </c>
      <c r="G1" t="s">
        <v>191</v>
      </c>
      <c r="K1" s="38" t="s">
        <v>193</v>
      </c>
    </row>
    <row r="2" spans="1:11" x14ac:dyDescent="0.25">
      <c r="A2" t="s">
        <v>194</v>
      </c>
      <c r="B2" t="s">
        <v>195</v>
      </c>
      <c r="C2" s="60">
        <v>44896</v>
      </c>
      <c r="D2">
        <v>0.88880000000000003</v>
      </c>
      <c r="E2">
        <v>1.3680000000000001</v>
      </c>
      <c r="F2">
        <v>338.41039999999998</v>
      </c>
      <c r="G2">
        <v>35.806199999999997</v>
      </c>
      <c r="J2" t="s">
        <v>192</v>
      </c>
      <c r="K2">
        <v>1.0546500000000001</v>
      </c>
    </row>
    <row r="3" spans="1:11" x14ac:dyDescent="0.25">
      <c r="A3" t="s">
        <v>196</v>
      </c>
      <c r="B3" t="s">
        <v>197</v>
      </c>
      <c r="C3" s="60">
        <v>44896</v>
      </c>
      <c r="D3">
        <v>0.66600000000000004</v>
      </c>
      <c r="E3">
        <v>1.4809000000000001</v>
      </c>
      <c r="F3">
        <v>108.9323</v>
      </c>
      <c r="G3">
        <v>33.364199999999997</v>
      </c>
    </row>
    <row r="4" spans="1:11" x14ac:dyDescent="0.25">
      <c r="A4" t="s">
        <v>198</v>
      </c>
      <c r="B4" t="s">
        <v>199</v>
      </c>
      <c r="C4" s="60">
        <v>44896</v>
      </c>
      <c r="D4">
        <v>2.3269000000000002</v>
      </c>
      <c r="E4">
        <v>1.5759000000000001</v>
      </c>
      <c r="F4">
        <v>81.298000000000002</v>
      </c>
      <c r="G4">
        <v>0.94599999999999995</v>
      </c>
    </row>
    <row r="5" spans="1:11" x14ac:dyDescent="0.25">
      <c r="A5" t="s">
        <v>200</v>
      </c>
      <c r="B5" t="s">
        <v>201</v>
      </c>
      <c r="C5" s="60">
        <v>44896</v>
      </c>
      <c r="D5">
        <v>0.69950000000000001</v>
      </c>
      <c r="E5">
        <v>0.95250000000000001</v>
      </c>
      <c r="F5">
        <v>33.8476</v>
      </c>
      <c r="G5">
        <v>39.800400000000003</v>
      </c>
    </row>
    <row r="6" spans="1:11" x14ac:dyDescent="0.25">
      <c r="B6" s="71"/>
      <c r="C6" s="70"/>
      <c r="D6" s="80"/>
    </row>
    <row r="19" spans="3:8" x14ac:dyDescent="0.25">
      <c r="C19" s="38"/>
      <c r="D19" s="38"/>
      <c r="F19" s="38"/>
      <c r="H19" s="38"/>
    </row>
  </sheetData>
  <phoneticPr fontId="2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6C683-E6B5-4107-954C-8E9487F386AA}">
  <sheetPr codeName="Sheet13"/>
  <dimension ref="A1:I21"/>
  <sheetViews>
    <sheetView workbookViewId="0">
      <selection activeCell="F23" sqref="F23"/>
    </sheetView>
  </sheetViews>
  <sheetFormatPr defaultColWidth="8.77734375" defaultRowHeight="13.8" x14ac:dyDescent="0.25"/>
  <cols>
    <col min="1" max="1" width="13.33203125" customWidth="1"/>
    <col min="2" max="2" width="26" bestFit="1" customWidth="1"/>
    <col min="3" max="3" width="27.109375" bestFit="1" customWidth="1"/>
    <col min="4" max="4" width="12.33203125" customWidth="1"/>
    <col min="5" max="5" width="14" customWidth="1"/>
    <col min="6" max="6" width="13.109375" customWidth="1"/>
    <col min="7" max="7" width="13.6640625" customWidth="1"/>
  </cols>
  <sheetData>
    <row r="1" spans="1:9" ht="111.75" customHeight="1" x14ac:dyDescent="0.25">
      <c r="A1" s="35" t="str">
        <f>数据源!A1</f>
        <v>证券代码</v>
      </c>
      <c r="B1" s="35" t="str">
        <f>数据源!B1</f>
        <v>证券简称</v>
      </c>
      <c r="C1" s="35" t="str">
        <f>数据源!C1</f>
        <v>基金净值日期[日期] 最新收盘日</v>
      </c>
      <c r="D1" s="35" t="str">
        <f>数据源!D1</f>
        <v>单位净值[交易日期] 最新收盘日[单位] 元</v>
      </c>
      <c r="E1" s="35" t="str">
        <f>数据源!E1</f>
        <v>当期复权单位净值增长率[交易日期] 最新收盘日[单位] %</v>
      </c>
      <c r="F1" s="35" t="str">
        <f>数据源!F1</f>
        <v>复权单位净值增长率[起始交易日期] 截止日1月前[截止交易日期] 最新[单位] %</v>
      </c>
      <c r="G1" s="35" t="str">
        <f>数据源!G1</f>
        <v>今年以来回报[是否年化] 否[交易日期] 最新[单位] %</v>
      </c>
    </row>
    <row r="2" spans="1:9" x14ac:dyDescent="0.25">
      <c r="A2" t="str">
        <f>数据源!A2</f>
        <v>002450.OF</v>
      </c>
      <c r="B2" t="str">
        <f>数据源!B2</f>
        <v>平安睿享文娱A</v>
      </c>
      <c r="C2" s="60">
        <f>数据源!C2</f>
        <v>44896</v>
      </c>
      <c r="D2">
        <f>数据源!D2</f>
        <v>2.1619999999999999</v>
      </c>
      <c r="E2" s="61">
        <f>数据源!E2/100</f>
        <v>2.3189999999999999E-2</v>
      </c>
      <c r="F2">
        <f>数据源!F2/100</f>
        <v>-4.6737000000000001E-2</v>
      </c>
      <c r="G2">
        <f>数据源!G2/100</f>
        <v>-0.15612799999999999</v>
      </c>
      <c r="I2" s="61"/>
    </row>
    <row r="3" spans="1:9" x14ac:dyDescent="0.25">
      <c r="A3" t="str">
        <f>数据源!A3</f>
        <v>004827.OF</v>
      </c>
      <c r="B3" t="str">
        <f>数据源!B3</f>
        <v>平安中短债A</v>
      </c>
      <c r="C3" s="60">
        <f>数据源!C3</f>
        <v>44896</v>
      </c>
      <c r="D3">
        <f>数据源!D3</f>
        <v>1.1434</v>
      </c>
      <c r="E3" s="61">
        <f>数据源!E3/100</f>
        <v>-5.2400000000000005E-4</v>
      </c>
      <c r="F3">
        <f>数据源!F3/100</f>
        <v>-9.7859999999999996E-3</v>
      </c>
      <c r="G3">
        <f>数据源!G3/100</f>
        <v>1.8166000000000002E-2</v>
      </c>
      <c r="I3" s="61"/>
    </row>
    <row r="4" spans="1:9" x14ac:dyDescent="0.25">
      <c r="A4" t="str">
        <f>数据源!A4</f>
        <v>015645.OF</v>
      </c>
      <c r="B4" t="str">
        <f>数据源!B4</f>
        <v>平安同业存单指数7天持有</v>
      </c>
      <c r="C4" s="60">
        <f>数据源!C4</f>
        <v>44896</v>
      </c>
      <c r="D4">
        <f>数据源!D4</f>
        <v>1.0104</v>
      </c>
      <c r="E4" s="61">
        <f>数据源!E4/100</f>
        <v>9.9000000000000008E-5</v>
      </c>
      <c r="F4">
        <f>数据源!F4/100</f>
        <v>2.9700000000000001E-4</v>
      </c>
      <c r="G4">
        <f>数据源!G4/100</f>
        <v>1.04E-2</v>
      </c>
      <c r="I4" s="61"/>
    </row>
    <row r="5" spans="1:9" x14ac:dyDescent="0.25">
      <c r="A5" t="str">
        <f>数据源!A5</f>
        <v>008694.OF</v>
      </c>
      <c r="B5" t="str">
        <f>数据源!B5</f>
        <v>平安元盛超短债A</v>
      </c>
      <c r="C5" s="60">
        <f>数据源!C5</f>
        <v>44896</v>
      </c>
      <c r="D5">
        <f>数据源!D5</f>
        <v>1.0718000000000001</v>
      </c>
      <c r="E5" s="61">
        <f>数据源!E5/100</f>
        <v>-9.2999999999999997E-5</v>
      </c>
      <c r="F5">
        <f>数据源!F5/100</f>
        <v>-5.5900000000000004E-4</v>
      </c>
      <c r="G5">
        <f>数据源!G5/100</f>
        <v>1.4674E-2</v>
      </c>
      <c r="I5" s="61"/>
    </row>
    <row r="6" spans="1:9" x14ac:dyDescent="0.25">
      <c r="A6" t="str">
        <f>数据源!A6</f>
        <v>005754.OF</v>
      </c>
      <c r="B6" t="str">
        <f>数据源!B6</f>
        <v>平安短债A</v>
      </c>
      <c r="C6" s="60">
        <f>数据源!C6</f>
        <v>44896</v>
      </c>
      <c r="D6">
        <f>数据源!D6</f>
        <v>1.1447000000000001</v>
      </c>
      <c r="E6" s="61">
        <f>数据源!E6/100</f>
        <v>-1.7500000000000003E-4</v>
      </c>
      <c r="F6">
        <f>数据源!F6/100</f>
        <v>-3.3950000000000004E-3</v>
      </c>
      <c r="G6">
        <f>数据源!G6/100</f>
        <v>2.2601E-2</v>
      </c>
      <c r="I6" s="61"/>
    </row>
    <row r="7" spans="1:9" x14ac:dyDescent="0.25">
      <c r="A7" t="str">
        <f>数据源!A7</f>
        <v>700003.OF</v>
      </c>
      <c r="B7" t="str">
        <f>数据源!B7</f>
        <v>平安策略先锋</v>
      </c>
      <c r="C7" s="60">
        <f>数据源!C7</f>
        <v>44896</v>
      </c>
      <c r="D7">
        <f>数据源!D7</f>
        <v>5.4939999999999998</v>
      </c>
      <c r="E7" s="61">
        <f>数据源!E7/100</f>
        <v>1.8349999999999998E-2</v>
      </c>
      <c r="F7">
        <f>数据源!F7/100</f>
        <v>-1.8752999999999999E-2</v>
      </c>
      <c r="G7">
        <f>数据源!G7/100</f>
        <v>-0.15891</v>
      </c>
      <c r="I7" s="61"/>
    </row>
    <row r="8" spans="1:9" x14ac:dyDescent="0.25">
      <c r="A8" t="str">
        <f>数据源!A8</f>
        <v>000739.OF</v>
      </c>
      <c r="B8" t="str">
        <f>数据源!B8</f>
        <v>平安新鑫先锋A</v>
      </c>
      <c r="C8" s="60">
        <f>数据源!C8</f>
        <v>44896</v>
      </c>
      <c r="D8">
        <f>数据源!D8</f>
        <v>2.722</v>
      </c>
      <c r="E8" s="61">
        <f>数据源!E8/100</f>
        <v>9.2700000000000005E-3</v>
      </c>
      <c r="F8">
        <f>数据源!F8/100</f>
        <v>1.6050999999999999E-2</v>
      </c>
      <c r="G8">
        <f>数据源!G8/100</f>
        <v>-0.11738</v>
      </c>
      <c r="I8" s="61"/>
    </row>
    <row r="9" spans="1:9" x14ac:dyDescent="0.25">
      <c r="A9" t="str">
        <f>数据源!A9</f>
        <v>007935.OF</v>
      </c>
      <c r="B9" t="str">
        <f>数据源!B9</f>
        <v>平安惠澜纯债A</v>
      </c>
      <c r="C9" s="60">
        <f>数据源!C9</f>
        <v>44896</v>
      </c>
      <c r="D9">
        <f>数据源!D9</f>
        <v>1.1266</v>
      </c>
      <c r="E9" s="61">
        <f>数据源!E9/100</f>
        <v>-2.6599999999999996E-4</v>
      </c>
      <c r="F9">
        <f>数据源!F9/100</f>
        <v>-8.6239999999999997E-3</v>
      </c>
      <c r="G9">
        <f>数据源!G9/100</f>
        <v>2.1951999999999999E-2</v>
      </c>
      <c r="I9" s="61"/>
    </row>
    <row r="10" spans="1:9" x14ac:dyDescent="0.25">
      <c r="A10" t="str">
        <f>数据源!A10</f>
        <v>009661.OF</v>
      </c>
      <c r="B10" t="str">
        <f>数据源!B10</f>
        <v>平安研究睿选A</v>
      </c>
      <c r="C10" s="60">
        <f>数据源!C10</f>
        <v>44896</v>
      </c>
      <c r="D10">
        <f>数据源!D10</f>
        <v>0.89070000000000005</v>
      </c>
      <c r="E10" s="61">
        <f>数据源!E10/100</f>
        <v>1.2964999999999999E-2</v>
      </c>
      <c r="F10">
        <f>数据源!F10/100</f>
        <v>7.6374999999999998E-2</v>
      </c>
      <c r="G10">
        <f>数据源!G10/100</f>
        <v>-0.24465699999999999</v>
      </c>
      <c r="I10" s="61"/>
    </row>
    <row r="11" spans="1:9" x14ac:dyDescent="0.25">
      <c r="A11" t="str">
        <f>数据源!A11</f>
        <v>009878.OF</v>
      </c>
      <c r="B11" t="str">
        <f>数据源!B11</f>
        <v>平安低碳经济A</v>
      </c>
      <c r="C11" s="60">
        <f>数据源!C11</f>
        <v>44896</v>
      </c>
      <c r="D11">
        <f>数据源!D11</f>
        <v>0.97340000000000004</v>
      </c>
      <c r="E11" s="61">
        <f>数据源!E11/100</f>
        <v>2.3553999999999999E-2</v>
      </c>
      <c r="F11">
        <f>数据源!F11/100</f>
        <v>9.346199999999999E-2</v>
      </c>
      <c r="G11">
        <f>数据源!G11/100</f>
        <v>-0.16143999999999997</v>
      </c>
      <c r="I11" s="61"/>
    </row>
    <row r="12" spans="1:9" x14ac:dyDescent="0.25">
      <c r="A12" t="str">
        <f>数据源!A12</f>
        <v>010126.OF</v>
      </c>
      <c r="B12" t="str">
        <f>数据源!B12</f>
        <v>平安价值成长A</v>
      </c>
      <c r="C12" s="60">
        <f>数据源!C12</f>
        <v>44896</v>
      </c>
      <c r="D12">
        <f>数据源!D12</f>
        <v>0.9123</v>
      </c>
      <c r="E12" s="61">
        <f>数据源!E12/100</f>
        <v>2.0697999999999998E-2</v>
      </c>
      <c r="F12">
        <f>数据源!F12/100</f>
        <v>-5.2253999999999995E-2</v>
      </c>
      <c r="G12">
        <f>数据源!G12/100</f>
        <v>-0.23949600000000001</v>
      </c>
      <c r="I12" s="61"/>
    </row>
    <row r="13" spans="1:9" x14ac:dyDescent="0.25">
      <c r="A13" t="str">
        <f>数据源!A13</f>
        <v>014460.OF</v>
      </c>
      <c r="B13" t="str">
        <f>数据源!B13</f>
        <v>平安品质优选A</v>
      </c>
      <c r="C13" s="60">
        <f>数据源!C13</f>
        <v>44896</v>
      </c>
      <c r="D13">
        <f>数据源!D13</f>
        <v>0.8962</v>
      </c>
      <c r="E13" s="61">
        <f>数据源!E13/100</f>
        <v>1.5984999999999999E-2</v>
      </c>
      <c r="F13">
        <f>数据源!F13/100</f>
        <v>-1.8186000000000001E-2</v>
      </c>
      <c r="G13">
        <f>数据源!G13/100</f>
        <v>-0.10371000000000001</v>
      </c>
      <c r="I13" s="61"/>
    </row>
    <row r="14" spans="1:9" x14ac:dyDescent="0.25">
      <c r="A14" t="str">
        <f>数据源!A14</f>
        <v>013767.OF</v>
      </c>
      <c r="B14" t="str">
        <f>数据源!B14</f>
        <v>平安价值回报A</v>
      </c>
      <c r="C14" s="60">
        <f>数据源!C14</f>
        <v>44896</v>
      </c>
      <c r="D14">
        <f>数据源!D14</f>
        <v>0.97330000000000005</v>
      </c>
      <c r="E14" s="61">
        <f>数据源!E14/100</f>
        <v>1.9559999999999998E-3</v>
      </c>
      <c r="F14">
        <f>数据源!F14/100</f>
        <v>7.4045E-2</v>
      </c>
      <c r="G14">
        <f>数据源!G14/100</f>
        <v>-2.6699999999999998E-2</v>
      </c>
      <c r="I14" s="61"/>
    </row>
    <row r="15" spans="1:9" x14ac:dyDescent="0.25">
      <c r="A15" t="str">
        <f>数据源!A15</f>
        <v>013687.OF</v>
      </c>
      <c r="B15" t="str">
        <f>数据源!B15</f>
        <v>平安成长龙头1年持有A</v>
      </c>
      <c r="C15" s="60">
        <f>数据源!C15</f>
        <v>44896</v>
      </c>
      <c r="D15">
        <f>数据源!D15</f>
        <v>0.77849999999999997</v>
      </c>
      <c r="E15" s="61">
        <f>数据源!E15/100</f>
        <v>2.2593000000000002E-2</v>
      </c>
      <c r="F15">
        <f>数据源!F15/100</f>
        <v>-4.7938999999999996E-2</v>
      </c>
      <c r="G15">
        <f>数据源!G15/100</f>
        <v>-0.21923600000000001</v>
      </c>
      <c r="I15" s="61"/>
    </row>
    <row r="16" spans="1:9" x14ac:dyDescent="0.25">
      <c r="A16" t="str">
        <f>数据源!A16</f>
        <v>004390.OF</v>
      </c>
      <c r="B16" t="str">
        <f>数据源!B16</f>
        <v>平安转型创新A</v>
      </c>
      <c r="C16" s="60">
        <f>数据源!C16</f>
        <v>44896</v>
      </c>
      <c r="D16">
        <f>数据源!D16</f>
        <v>3.1126</v>
      </c>
      <c r="E16" s="61">
        <f>数据源!E16/100</f>
        <v>1.6957E-2</v>
      </c>
      <c r="F16">
        <f>数据源!F16/100</f>
        <v>-1.4345000000000002E-2</v>
      </c>
      <c r="G16">
        <f>数据源!G16/100</f>
        <v>-0.16672899999999999</v>
      </c>
      <c r="I16" s="61"/>
    </row>
    <row r="17" spans="1:9" x14ac:dyDescent="0.25">
      <c r="A17" t="str">
        <f>数据源!A17</f>
        <v>012475.OF</v>
      </c>
      <c r="B17" t="str">
        <f>数据源!B17</f>
        <v>平安优质企业A</v>
      </c>
      <c r="C17" s="60">
        <f>数据源!C17</f>
        <v>44896</v>
      </c>
      <c r="D17">
        <f>数据源!D17</f>
        <v>0.73150000000000004</v>
      </c>
      <c r="E17" s="61">
        <f>数据源!E17/100</f>
        <v>2.6040000000000004E-3</v>
      </c>
      <c r="F17">
        <f>数据源!F17/100</f>
        <v>-3.0227E-2</v>
      </c>
      <c r="G17">
        <f>数据源!G17/100</f>
        <v>-0.23682800000000001</v>
      </c>
      <c r="I17" s="61"/>
    </row>
    <row r="18" spans="1:9" x14ac:dyDescent="0.25">
      <c r="A18" t="str">
        <f>数据源!A18</f>
        <v>007893.OF</v>
      </c>
      <c r="B18" t="str">
        <f>数据源!B18</f>
        <v>平安估值精选A</v>
      </c>
      <c r="C18" s="60">
        <f>数据源!C18</f>
        <v>44896</v>
      </c>
      <c r="D18">
        <f>数据源!D18</f>
        <v>1.2809999999999999</v>
      </c>
      <c r="E18" s="61">
        <f>数据源!E18/100</f>
        <v>2.1857000000000001E-2</v>
      </c>
      <c r="F18">
        <f>数据源!F18/100</f>
        <v>-4.8502999999999998E-2</v>
      </c>
      <c r="G18">
        <f>数据源!G18/100</f>
        <v>-0.21329000000000001</v>
      </c>
      <c r="I18" s="61"/>
    </row>
    <row r="19" spans="1:9" x14ac:dyDescent="0.25">
      <c r="A19" t="str">
        <f>数据源!A19</f>
        <v>011828.OF</v>
      </c>
      <c r="B19" t="str">
        <f>数据源!B19</f>
        <v>平安睿享成长A</v>
      </c>
      <c r="C19" s="60">
        <f>数据源!C19</f>
        <v>44904</v>
      </c>
      <c r="D19">
        <f>数据源!D19</f>
        <v>0.74690000000000001</v>
      </c>
      <c r="E19" s="61">
        <f>数据源!E19/100</f>
        <v>-3.336E-3</v>
      </c>
      <c r="F19">
        <f>数据源!F19/100</f>
        <v>-9.8490999999999995E-2</v>
      </c>
      <c r="G19">
        <f>数据源!G19/100</f>
        <v>-0.26129999999999998</v>
      </c>
    </row>
    <row r="20" spans="1:9" x14ac:dyDescent="0.25">
      <c r="A20" t="str">
        <f>数据源!A20</f>
        <v>015510.OF</v>
      </c>
      <c r="B20" t="str">
        <f>数据源!B20</f>
        <v>平安价值领航A</v>
      </c>
      <c r="C20" s="60">
        <f>数据源!C20</f>
        <v>44904</v>
      </c>
      <c r="D20">
        <f>数据源!D20</f>
        <v>1.0166999999999999</v>
      </c>
      <c r="E20" s="61">
        <f>数据源!E20/100</f>
        <v>1.7718000000000001E-2</v>
      </c>
      <c r="F20">
        <f>数据源!F20/100</f>
        <v>1.67E-2</v>
      </c>
      <c r="G20">
        <f>数据源!G20/100</f>
        <v>1.67E-2</v>
      </c>
    </row>
    <row r="21" spans="1:9" x14ac:dyDescent="0.25">
      <c r="A21" t="str">
        <f>数据源!A21</f>
        <v>885001.WI</v>
      </c>
      <c r="B21" t="str">
        <f>数据源!B21</f>
        <v>万得偏股混合型基金指数</v>
      </c>
      <c r="C21" s="60">
        <f>数据源!C21</f>
        <v>0</v>
      </c>
      <c r="D21">
        <f>数据源!D21</f>
        <v>0</v>
      </c>
      <c r="E21" s="61">
        <f>数据源!E21/100</f>
        <v>0</v>
      </c>
      <c r="F21">
        <f>数据源!F21/100</f>
        <v>0</v>
      </c>
      <c r="G21">
        <f>数据源!G21/100</f>
        <v>0</v>
      </c>
    </row>
  </sheetData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Q36"/>
  <sheetViews>
    <sheetView zoomScale="40" zoomScaleNormal="40" workbookViewId="0">
      <selection activeCell="H6" sqref="H6"/>
    </sheetView>
  </sheetViews>
  <sheetFormatPr defaultColWidth="9" defaultRowHeight="70.2" customHeight="1" x14ac:dyDescent="0.25"/>
  <cols>
    <col min="1" max="1" width="32.109375" customWidth="1"/>
    <col min="2" max="2" width="15.77734375" customWidth="1"/>
    <col min="3" max="3" width="47.77734375" customWidth="1"/>
    <col min="4" max="5" width="24.109375" customWidth="1"/>
    <col min="6" max="6" width="22.109375" customWidth="1"/>
    <col min="7" max="9" width="24.109375" customWidth="1"/>
    <col min="10" max="10" width="22.6640625" customWidth="1"/>
    <col min="11" max="11" width="17.33203125" customWidth="1"/>
    <col min="12" max="12" width="21.44140625" customWidth="1"/>
    <col min="13" max="13" width="24.33203125" customWidth="1"/>
    <col min="14" max="14" width="96" customWidth="1"/>
    <col min="15" max="15" width="24" bestFit="1" customWidth="1"/>
    <col min="16" max="16" width="40.109375" customWidth="1"/>
    <col min="17" max="17" width="35.109375" customWidth="1"/>
    <col min="18" max="18" width="27" customWidth="1"/>
    <col min="19" max="19" width="40" customWidth="1"/>
    <col min="20" max="20" width="13.77734375"/>
  </cols>
  <sheetData>
    <row r="1" spans="1:14" ht="64.95" customHeight="1" x14ac:dyDescent="0.25">
      <c r="B1" s="84" t="str">
        <f ca="1">"优选基金&amp;售后跟踪"&amp;TEXT(TODAY(),"(yyyy-mm-dd)")</f>
        <v>优选基金&amp;售后跟踪(2022-12-10)</v>
      </c>
      <c r="C1" s="85"/>
      <c r="D1" s="85"/>
      <c r="E1" s="85"/>
      <c r="F1" s="85"/>
      <c r="G1" s="85"/>
      <c r="H1" s="85"/>
      <c r="I1" s="86"/>
      <c r="J1" s="18"/>
      <c r="K1" s="12" t="s">
        <v>44</v>
      </c>
      <c r="L1" s="20">
        <v>-5.0000000000000001E-4</v>
      </c>
    </row>
    <row r="2" spans="1:14" ht="30" customHeight="1" x14ac:dyDescent="0.25">
      <c r="B2" s="87"/>
      <c r="C2" s="88"/>
      <c r="D2" s="88"/>
      <c r="E2" s="88"/>
      <c r="F2" s="88"/>
      <c r="G2" s="88"/>
      <c r="H2" s="88"/>
      <c r="I2" s="89"/>
      <c r="J2" s="18"/>
      <c r="K2" s="12" t="s">
        <v>45</v>
      </c>
      <c r="L2" s="20">
        <v>1.6999999999999999E-3</v>
      </c>
    </row>
    <row r="3" spans="1:14" ht="45" customHeight="1" x14ac:dyDescent="0.25">
      <c r="B3" s="1"/>
      <c r="C3" s="3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  <c r="L3" s="19" t="s">
        <v>116</v>
      </c>
      <c r="M3" s="19" t="s">
        <v>8</v>
      </c>
    </row>
    <row r="4" spans="1:14" ht="66" customHeight="1" x14ac:dyDescent="0.25">
      <c r="A4" s="37" t="s">
        <v>58</v>
      </c>
      <c r="B4" s="94" t="s">
        <v>117</v>
      </c>
      <c r="C4" s="12" t="s">
        <v>115</v>
      </c>
      <c r="D4" s="6">
        <v>42458</v>
      </c>
      <c r="E4" s="7">
        <f>VLOOKUP(A4,'最终 数据源'!$1:$1048576,4,FALSE)</f>
        <v>2.1619999999999999</v>
      </c>
      <c r="F4" s="62">
        <f>VLOOKUP(A4,'最终 数据源'!$1:$1048576,5,FALSE)</f>
        <v>2.3189999999999999E-2</v>
      </c>
      <c r="G4" s="34">
        <f>VLOOKUP(A4,'最终 数据源'!$1:$1048576,6,FALSE)</f>
        <v>-4.6737000000000001E-2</v>
      </c>
      <c r="H4" s="34">
        <f>VLOOKUP(A4,'最终 数据源'!$1:$1048576,7,FALSE)</f>
        <v>-0.15612799999999999</v>
      </c>
      <c r="I4" s="9" t="s">
        <v>10</v>
      </c>
      <c r="J4" s="21"/>
      <c r="M4" s="13"/>
    </row>
    <row r="5" spans="1:14" ht="66" hidden="1" customHeight="1" x14ac:dyDescent="0.25">
      <c r="A5" s="37" t="s">
        <v>59</v>
      </c>
      <c r="B5" s="94"/>
      <c r="C5" s="12" t="s">
        <v>11</v>
      </c>
      <c r="D5" s="6">
        <v>42970</v>
      </c>
      <c r="E5" s="7">
        <f>VLOOKUP(A5,'最终 数据源'!$1:$1048576,4,FALSE)</f>
        <v>1.1434</v>
      </c>
      <c r="F5" s="62">
        <f>VLOOKUP(A5,'最终 数据源'!$1:$1048576,5,FALSE)</f>
        <v>-5.2400000000000005E-4</v>
      </c>
      <c r="G5" s="34">
        <f>VLOOKUP(A5,'最终 数据源'!$1:$1048576,6,FALSE)</f>
        <v>-9.7859999999999996E-3</v>
      </c>
      <c r="H5" s="34">
        <f>VLOOKUP(A5,'最终 数据源'!$A$2:$G$18,7,FALSE)</f>
        <v>1.8166000000000002E-2</v>
      </c>
      <c r="I5" s="9" t="s">
        <v>12</v>
      </c>
      <c r="L5" s="20">
        <v>7.7590000000000003E-3</v>
      </c>
      <c r="M5" s="20">
        <v>-8.0000000000000004E-4</v>
      </c>
    </row>
    <row r="6" spans="1:14" ht="66" customHeight="1" x14ac:dyDescent="0.25">
      <c r="A6" s="37" t="s">
        <v>118</v>
      </c>
      <c r="B6" s="94"/>
      <c r="C6" s="5" t="s">
        <v>119</v>
      </c>
      <c r="D6" s="10">
        <v>44699</v>
      </c>
      <c r="E6" s="7">
        <f>VLOOKUP(A6,'最终 数据源'!$1:$1048576,4,FALSE)</f>
        <v>1.0104</v>
      </c>
      <c r="F6" s="62">
        <f>VLOOKUP(A6,'最终 数据源'!$1:$1048576,5,FALSE)</f>
        <v>9.9000000000000008E-5</v>
      </c>
      <c r="G6" s="34">
        <f>VLOOKUP(A6,'最终 数据源'!$1:$1048576,6,FALSE)</f>
        <v>2.9700000000000001E-4</v>
      </c>
      <c r="H6" s="81" t="s">
        <v>204</v>
      </c>
      <c r="I6" s="12" t="s">
        <v>120</v>
      </c>
      <c r="L6" s="30"/>
      <c r="M6" s="30"/>
    </row>
    <row r="7" spans="1:14" s="21" customFormat="1" ht="66" hidden="1" customHeight="1" x14ac:dyDescent="0.25">
      <c r="A7" s="56" t="s">
        <v>60</v>
      </c>
      <c r="B7" s="94"/>
      <c r="C7" s="51" t="str">
        <f>国盛证券!C7</f>
        <v>平安短债
（005754）</v>
      </c>
      <c r="D7" s="52">
        <f>国盛证券!D7</f>
        <v>43236</v>
      </c>
      <c r="E7" s="7">
        <f>VLOOKUP(A7,'最终 数据源'!$1:$1048576,4,FALSE)</f>
        <v>1.1447000000000001</v>
      </c>
      <c r="F7" s="62">
        <f>VLOOKUP(A7,'最终 数据源'!$1:$1048576,5,FALSE)</f>
        <v>-1.7500000000000003E-4</v>
      </c>
      <c r="G7" s="34">
        <f>VLOOKUP(A7,'最终 数据源'!$1:$1048576,6,FALSE)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  <c r="L7" s="30"/>
      <c r="M7" s="30"/>
    </row>
    <row r="8" spans="1:14" ht="66" hidden="1" customHeight="1" x14ac:dyDescent="0.25">
      <c r="A8" s="37" t="s">
        <v>61</v>
      </c>
      <c r="B8" s="98" t="s">
        <v>74</v>
      </c>
      <c r="C8" s="12" t="s">
        <v>13</v>
      </c>
      <c r="D8" s="6">
        <v>41058</v>
      </c>
      <c r="E8" s="7">
        <f>VLOOKUP(A8,'最终 数据源'!$1:$1048576,4,FALSE)</f>
        <v>5.4939999999999998</v>
      </c>
      <c r="F8" s="62">
        <f>VLOOKUP(A8,'最终 数据源'!$1:$1048576,5,FALSE)</f>
        <v>1.8349999999999998E-2</v>
      </c>
      <c r="G8" s="34">
        <f>VLOOKUP(A8,'最终 数据源'!$1:$1048576,6,FALSE)</f>
        <v>-1.8752999999999999E-2</v>
      </c>
      <c r="H8" s="34">
        <f>VLOOKUP(A8,'最终 数据源'!$A$2:$G$18,7,FALSE)</f>
        <v>-0.15891</v>
      </c>
      <c r="I8" s="9" t="s">
        <v>14</v>
      </c>
      <c r="K8" s="20">
        <v>0.60852600000000001</v>
      </c>
    </row>
    <row r="9" spans="1:14" ht="66" hidden="1" customHeight="1" x14ac:dyDescent="0.25">
      <c r="A9" s="37" t="s">
        <v>62</v>
      </c>
      <c r="B9" s="99"/>
      <c r="C9" s="12" t="s">
        <v>15</v>
      </c>
      <c r="D9" s="6">
        <v>42839</v>
      </c>
      <c r="E9" s="7">
        <f>VLOOKUP(A9,'最终 数据源'!$1:$1048576,4,FALSE)</f>
        <v>2.722</v>
      </c>
      <c r="F9" s="62">
        <f>VLOOKUP(A9,'最终 数据源'!$1:$1048576,5,FALSE)</f>
        <v>9.2700000000000005E-3</v>
      </c>
      <c r="G9" s="34">
        <f>VLOOKUP(A9,'最终 数据源'!$1:$1048576,6,FALSE)</f>
        <v>1.6050999999999999E-2</v>
      </c>
      <c r="H9" s="34">
        <f>VLOOKUP(A9,'最终 数据源'!$A$2:$G$18,7,FALSE)</f>
        <v>-0.11738</v>
      </c>
      <c r="I9" s="9" t="s">
        <v>16</v>
      </c>
      <c r="K9" s="20">
        <v>0.28352300000000003</v>
      </c>
    </row>
    <row r="10" spans="1:14" ht="66" customHeight="1" x14ac:dyDescent="0.25">
      <c r="A10" s="37" t="s">
        <v>63</v>
      </c>
      <c r="B10" s="98" t="s">
        <v>17</v>
      </c>
      <c r="C10" s="12" t="s">
        <v>18</v>
      </c>
      <c r="D10" s="6">
        <v>44029</v>
      </c>
      <c r="E10" s="7">
        <f>VLOOKUP(A10,'最终 数据源'!$1:$1048576,4,FALSE)</f>
        <v>0.89070000000000005</v>
      </c>
      <c r="F10" s="62">
        <f>VLOOKUP(A10,'最终 数据源'!$1:$1048576,5,FALSE)</f>
        <v>1.2964999999999999E-2</v>
      </c>
      <c r="G10" s="34">
        <f>VLOOKUP(A10,'最终 数据源'!$1:$1048576,6,FALSE)</f>
        <v>7.6374999999999998E-2</v>
      </c>
      <c r="H10" s="34">
        <f>VLOOKUP(A10,'最终 数据源'!$1:$1048576,7,FALSE)</f>
        <v>-0.24465699999999999</v>
      </c>
      <c r="I10" s="9" t="s">
        <v>19</v>
      </c>
      <c r="M10" s="13"/>
    </row>
    <row r="11" spans="1:14" ht="66" customHeight="1" x14ac:dyDescent="0.45">
      <c r="A11" s="37" t="s">
        <v>64</v>
      </c>
      <c r="B11" s="100"/>
      <c r="C11" s="12" t="s">
        <v>20</v>
      </c>
      <c r="D11" s="6">
        <v>44053</v>
      </c>
      <c r="E11" s="7">
        <f>VLOOKUP(A11,'最终 数据源'!$1:$1048576,4,FALSE)</f>
        <v>0.97340000000000004</v>
      </c>
      <c r="F11" s="62">
        <f>VLOOKUP(A11,'最终 数据源'!$1:$1048576,5,FALSE)</f>
        <v>2.3553999999999999E-2</v>
      </c>
      <c r="G11" s="34">
        <f>VLOOKUP(A11,'最终 数据源'!$1:$1048576,6,FALSE)</f>
        <v>9.346199999999999E-2</v>
      </c>
      <c r="H11" s="34">
        <f>VLOOKUP(A11,'最终 数据源'!$1:$1048576,7,FALSE)</f>
        <v>-0.16143999999999997</v>
      </c>
      <c r="I11" s="9" t="s">
        <v>21</v>
      </c>
      <c r="L11" s="33"/>
      <c r="M11" s="13"/>
    </row>
    <row r="12" spans="1:14" ht="66" customHeight="1" x14ac:dyDescent="0.45">
      <c r="A12" s="37" t="s">
        <v>65</v>
      </c>
      <c r="B12" s="100"/>
      <c r="C12" s="12" t="s">
        <v>22</v>
      </c>
      <c r="D12" s="6">
        <v>44098</v>
      </c>
      <c r="E12" s="7">
        <f>VLOOKUP(A12,'最终 数据源'!$1:$1048576,4,FALSE)</f>
        <v>0.9123</v>
      </c>
      <c r="F12" s="62">
        <f>VLOOKUP(A12,'最终 数据源'!$1:$1048576,5,FALSE)</f>
        <v>2.0697999999999998E-2</v>
      </c>
      <c r="G12" s="34">
        <f>VLOOKUP(A12,'最终 数据源'!$1:$1048576,6,FALSE)</f>
        <v>-5.2253999999999995E-2</v>
      </c>
      <c r="H12" s="34">
        <f>VLOOKUP(A12,'最终 数据源'!$1:$1048576,7,FALSE)</f>
        <v>-0.23949600000000001</v>
      </c>
      <c r="I12" s="9" t="s">
        <v>10</v>
      </c>
      <c r="L12" s="33"/>
      <c r="M12" s="13"/>
    </row>
    <row r="13" spans="1:14" ht="66" customHeight="1" x14ac:dyDescent="0.45">
      <c r="A13" s="37" t="s">
        <v>66</v>
      </c>
      <c r="B13" s="100"/>
      <c r="C13" s="12" t="s">
        <v>23</v>
      </c>
      <c r="D13" s="6">
        <v>44559</v>
      </c>
      <c r="E13" s="7">
        <f>VLOOKUP(A13,'最终 数据源'!$1:$1048576,4,FALSE)</f>
        <v>0.8962</v>
      </c>
      <c r="F13" s="62">
        <f>VLOOKUP(A13,'最终 数据源'!$1:$1048576,5,FALSE)</f>
        <v>1.5984999999999999E-2</v>
      </c>
      <c r="G13" s="34">
        <f>VLOOKUP(A13,'最终 数据源'!$1:$1048576,6,FALSE)</f>
        <v>-1.8186000000000001E-2</v>
      </c>
      <c r="H13" s="34">
        <f>VLOOKUP(A13,'最终 数据源'!$1:$1048576,7,FALSE)</f>
        <v>-0.10371000000000001</v>
      </c>
      <c r="I13" s="12" t="s">
        <v>14</v>
      </c>
      <c r="L13" s="33"/>
      <c r="M13" s="13"/>
    </row>
    <row r="14" spans="1:14" ht="66" customHeight="1" x14ac:dyDescent="0.5">
      <c r="A14" s="37" t="s">
        <v>121</v>
      </c>
      <c r="B14" s="100"/>
      <c r="C14" s="12" t="s">
        <v>122</v>
      </c>
      <c r="D14" s="6">
        <v>44665</v>
      </c>
      <c r="E14" s="7">
        <f>VLOOKUP(A14,'最终 数据源'!$1:$1048576,4,FALSE)</f>
        <v>0.97330000000000005</v>
      </c>
      <c r="F14" s="62">
        <f>VLOOKUP(A14,'最终 数据源'!$1:$1048576,5,FALSE)</f>
        <v>1.9559999999999998E-3</v>
      </c>
      <c r="G14" s="34">
        <f>VLOOKUP(A14,'最终 数据源'!$1:$1048576,6,FALSE)</f>
        <v>7.4045E-2</v>
      </c>
      <c r="H14" s="34">
        <f>VLOOKUP(A14,'最终 数据源'!$1:$1048576,7,FALSE)</f>
        <v>-2.6699999999999998E-2</v>
      </c>
      <c r="I14" s="9" t="s">
        <v>123</v>
      </c>
      <c r="K14" s="64"/>
      <c r="L14" s="33"/>
      <c r="M14" s="13"/>
    </row>
    <row r="15" spans="1:14" ht="45" customHeight="1" x14ac:dyDescent="0.25">
      <c r="B15" s="109" t="s">
        <v>24</v>
      </c>
      <c r="C15" s="110"/>
      <c r="D15" s="110"/>
      <c r="E15" s="110"/>
      <c r="F15" s="110"/>
      <c r="G15" s="110"/>
      <c r="H15" s="110"/>
      <c r="I15" s="111"/>
    </row>
    <row r="16" spans="1:14" ht="66" customHeight="1" x14ac:dyDescent="1">
      <c r="B16" s="14" t="s">
        <v>25</v>
      </c>
      <c r="C16" s="10" t="s">
        <v>26</v>
      </c>
      <c r="D16" s="105" t="s">
        <v>27</v>
      </c>
      <c r="E16" s="106"/>
      <c r="F16" s="112" t="s">
        <v>28</v>
      </c>
      <c r="G16" s="113"/>
      <c r="H16" s="112" t="s">
        <v>29</v>
      </c>
      <c r="I16" s="113"/>
      <c r="L16" s="33"/>
      <c r="M16" s="75" t="s">
        <v>146</v>
      </c>
      <c r="N16" s="76" t="s">
        <v>145</v>
      </c>
    </row>
    <row r="17" spans="2:17" ht="66" customHeight="1" x14ac:dyDescent="0.5">
      <c r="B17" s="14" t="s">
        <v>30</v>
      </c>
      <c r="C17" s="10" t="s">
        <v>31</v>
      </c>
      <c r="D17" s="105" t="s">
        <v>32</v>
      </c>
      <c r="E17" s="106"/>
      <c r="F17" s="112" t="s">
        <v>33</v>
      </c>
      <c r="G17" s="113"/>
      <c r="H17" s="112" t="s">
        <v>32</v>
      </c>
      <c r="I17" s="113"/>
      <c r="K17" s="66"/>
      <c r="L17" s="66" t="s">
        <v>144</v>
      </c>
      <c r="M17" s="66"/>
      <c r="N17" s="66" t="str">
        <f>FIXED(ETF同业!K2,2)</f>
        <v>1.05</v>
      </c>
      <c r="O17" s="66"/>
    </row>
    <row r="18" spans="2:17" ht="66" customHeight="1" x14ac:dyDescent="0.5">
      <c r="B18" s="14" t="s">
        <v>34</v>
      </c>
      <c r="C18" s="10" t="s">
        <v>35</v>
      </c>
      <c r="D18" s="101" t="s">
        <v>110</v>
      </c>
      <c r="E18" s="102"/>
      <c r="F18" s="103" t="s">
        <v>111</v>
      </c>
      <c r="G18" s="104"/>
      <c r="H18" s="101" t="s">
        <v>36</v>
      </c>
      <c r="I18" s="102"/>
      <c r="K18" s="66" t="s">
        <v>148</v>
      </c>
      <c r="L18" s="66" t="s">
        <v>133</v>
      </c>
      <c r="M18" s="66" t="str">
        <f>FIXED(VLOOKUP($K18,ETF同业!$A$1:$G$5,4,0),4)</f>
        <v>0.8888</v>
      </c>
      <c r="N18" s="66" t="str">
        <f>FIXED(VLOOKUP($K18,ETF同业!$A$1:$G$5,5,0),2)</f>
        <v>1.37</v>
      </c>
      <c r="O18" s="67"/>
    </row>
    <row r="19" spans="2:17" ht="66" customHeight="1" x14ac:dyDescent="0.5">
      <c r="B19" s="14" t="s">
        <v>37</v>
      </c>
      <c r="C19" s="74" t="s">
        <v>205</v>
      </c>
      <c r="D19" s="105" t="s">
        <v>206</v>
      </c>
      <c r="E19" s="106"/>
      <c r="F19" s="107" t="s">
        <v>202</v>
      </c>
      <c r="G19" s="108"/>
      <c r="H19" s="107" t="s">
        <v>203</v>
      </c>
      <c r="I19" s="108"/>
      <c r="J19" s="18"/>
      <c r="K19" s="66" t="s">
        <v>149</v>
      </c>
      <c r="L19" s="66" t="s">
        <v>135</v>
      </c>
      <c r="M19" s="66" t="str">
        <f>FIXED(VLOOKUP($K19,ETF同业!$A$1:$G$5,4,0),4)</f>
        <v>0.6660</v>
      </c>
      <c r="N19" s="66" t="str">
        <f>FIXED(VLOOKUP($K19,ETF同业!$A$1:$G$5,5,0),2)</f>
        <v>1.48</v>
      </c>
      <c r="O19" s="67"/>
    </row>
    <row r="20" spans="2:17" ht="160.94999999999999" customHeight="1" x14ac:dyDescent="0.5">
      <c r="B20" s="14" t="s">
        <v>38</v>
      </c>
      <c r="C20" s="42" t="s">
        <v>39</v>
      </c>
      <c r="D20" s="90" t="s">
        <v>141</v>
      </c>
      <c r="E20" s="91"/>
      <c r="F20" s="92" t="s">
        <v>142</v>
      </c>
      <c r="G20" s="93"/>
      <c r="H20" s="90" t="s">
        <v>143</v>
      </c>
      <c r="I20" s="91"/>
      <c r="K20" s="66" t="s">
        <v>150</v>
      </c>
      <c r="L20" s="66" t="s">
        <v>137</v>
      </c>
      <c r="M20" s="66" t="str">
        <f>FIXED(VLOOKUP($K20,ETF同业!$A$1:$G$5,4,0),4)</f>
        <v>2.3269</v>
      </c>
      <c r="N20" s="66" t="str">
        <f>FIXED(VLOOKUP($K20,ETF同业!$A$1:$G$5,5,0),2)</f>
        <v>1.58</v>
      </c>
      <c r="O20" s="67"/>
    </row>
    <row r="21" spans="2:17" ht="34.950000000000003" customHeight="1" x14ac:dyDescent="0.5">
      <c r="B21" s="95" t="s">
        <v>43</v>
      </c>
      <c r="C21" s="96"/>
      <c r="D21" s="96"/>
      <c r="E21" s="96"/>
      <c r="F21" s="96"/>
      <c r="G21" s="96"/>
      <c r="H21" s="96"/>
      <c r="I21" s="97"/>
      <c r="K21" s="66" t="s">
        <v>151</v>
      </c>
      <c r="L21" s="66" t="s">
        <v>139</v>
      </c>
      <c r="M21" s="66" t="str">
        <f>FIXED(VLOOKUP($K21,ETF同业!$A$1:$G$5,4,0),4)</f>
        <v>0.6995</v>
      </c>
      <c r="N21" s="66" t="str">
        <f>FIXED(VLOOKUP($K21,ETF同业!$A$1:$G$5,5,0),2)</f>
        <v>0.95</v>
      </c>
      <c r="O21" s="67"/>
    </row>
    <row r="23" spans="2:17" ht="41.25" customHeight="1" x14ac:dyDescent="0.25">
      <c r="B23" s="12" t="s">
        <v>44</v>
      </c>
      <c r="C23" s="20">
        <f>L1</f>
        <v>-5.0000000000000001E-4</v>
      </c>
    </row>
    <row r="24" spans="2:17" ht="41.25" customHeight="1" x14ac:dyDescent="0.5">
      <c r="B24" s="12" t="s">
        <v>45</v>
      </c>
      <c r="C24" s="20">
        <f>L2</f>
        <v>1.6999999999999999E-3</v>
      </c>
      <c r="P24" s="66"/>
      <c r="Q24" s="73"/>
    </row>
    <row r="25" spans="2:17" ht="41.25" customHeight="1" x14ac:dyDescent="0.5">
      <c r="B25" s="35"/>
      <c r="C25" s="63" t="s">
        <v>125</v>
      </c>
      <c r="D25" s="63" t="s">
        <v>126</v>
      </c>
      <c r="E25" s="64" t="s">
        <v>128</v>
      </c>
      <c r="F25" s="64" t="s">
        <v>129</v>
      </c>
      <c r="G25" s="64" t="s">
        <v>127</v>
      </c>
      <c r="H25" s="64"/>
      <c r="P25" s="66"/>
      <c r="Q25" s="73"/>
    </row>
    <row r="26" spans="2:17" ht="41.25" customHeight="1" x14ac:dyDescent="0.5">
      <c r="C26" s="63" t="s">
        <v>132</v>
      </c>
      <c r="D26" s="63" t="s">
        <v>133</v>
      </c>
      <c r="E26" s="64">
        <v>0.9103</v>
      </c>
      <c r="F26" s="64">
        <v>2.2120000000000002</v>
      </c>
      <c r="G26" s="65">
        <v>44771</v>
      </c>
      <c r="H26" s="64"/>
      <c r="P26" s="66"/>
      <c r="Q26" s="73"/>
    </row>
    <row r="27" spans="2:17" ht="70.2" customHeight="1" x14ac:dyDescent="0.5">
      <c r="C27" s="63" t="s">
        <v>134</v>
      </c>
      <c r="D27" s="63" t="s">
        <v>135</v>
      </c>
      <c r="E27" s="64">
        <v>0.56659999999999999</v>
      </c>
      <c r="F27" s="64">
        <v>-2.6627999999999998</v>
      </c>
      <c r="G27" s="65">
        <v>44771</v>
      </c>
      <c r="H27" s="64"/>
      <c r="P27" s="66"/>
      <c r="Q27" s="73"/>
    </row>
    <row r="28" spans="2:17" ht="70.2" customHeight="1" x14ac:dyDescent="0.5">
      <c r="C28" s="63" t="s">
        <v>136</v>
      </c>
      <c r="D28" s="63" t="s">
        <v>137</v>
      </c>
      <c r="E28" s="64">
        <v>2.8921999999999999</v>
      </c>
      <c r="F28" s="64">
        <v>-0.88419999999999999</v>
      </c>
      <c r="G28" s="65">
        <v>44771</v>
      </c>
      <c r="H28" s="64"/>
    </row>
    <row r="29" spans="2:17" ht="70.2" customHeight="1" x14ac:dyDescent="0.5">
      <c r="C29" s="63" t="s">
        <v>138</v>
      </c>
      <c r="D29" s="63" t="s">
        <v>139</v>
      </c>
      <c r="E29" s="64">
        <v>0.77029999999999998</v>
      </c>
      <c r="F29" s="64">
        <v>-1.5717000000000001</v>
      </c>
      <c r="G29" s="65">
        <v>44771</v>
      </c>
      <c r="H29" s="64"/>
      <c r="P29" s="66"/>
      <c r="Q29" s="73"/>
    </row>
    <row r="30" spans="2:17" ht="41.25" customHeight="1" x14ac:dyDescent="0.5">
      <c r="P30" s="66"/>
      <c r="Q30" s="73"/>
    </row>
    <row r="31" spans="2:17" ht="70.2" customHeight="1" x14ac:dyDescent="0.5">
      <c r="J31" s="18"/>
      <c r="P31" s="66"/>
      <c r="Q31" s="73"/>
    </row>
    <row r="32" spans="2:17" ht="70.2" customHeight="1" x14ac:dyDescent="0.5">
      <c r="J32" s="18"/>
      <c r="P32" s="66"/>
      <c r="Q32" s="73"/>
    </row>
    <row r="33" spans="2:10" ht="70.2" customHeight="1" x14ac:dyDescent="0.25">
      <c r="B33" s="15"/>
      <c r="C33" s="16"/>
      <c r="D33" s="17"/>
      <c r="E33" s="17"/>
      <c r="F33" s="18"/>
      <c r="G33" s="18"/>
      <c r="H33" s="18"/>
      <c r="I33" s="18"/>
      <c r="J33" s="18"/>
    </row>
    <row r="34" spans="2:10" ht="70.2" customHeight="1" x14ac:dyDescent="0.25">
      <c r="B34" s="15"/>
      <c r="C34" s="16"/>
      <c r="D34" s="17"/>
      <c r="E34" s="17"/>
      <c r="F34" s="18"/>
      <c r="G34" s="18"/>
      <c r="H34" s="18"/>
      <c r="I34" s="18"/>
      <c r="J34" s="18"/>
    </row>
    <row r="35" spans="2:10" ht="70.2" customHeight="1" x14ac:dyDescent="0.25">
      <c r="B35" s="15"/>
      <c r="C35" s="16"/>
      <c r="D35" s="17"/>
      <c r="E35" s="17"/>
      <c r="F35" s="18"/>
      <c r="G35" s="18"/>
      <c r="H35" s="18"/>
      <c r="I35" s="18"/>
    </row>
    <row r="36" spans="2:10" ht="70.2" customHeight="1" x14ac:dyDescent="0.25">
      <c r="B36" s="15"/>
      <c r="C36" s="16"/>
      <c r="D36" s="17"/>
      <c r="E36" s="17"/>
      <c r="F36" s="18"/>
      <c r="G36" s="18"/>
      <c r="H36" s="18"/>
      <c r="I36" s="18"/>
    </row>
  </sheetData>
  <mergeCells count="21">
    <mergeCell ref="B21:I21"/>
    <mergeCell ref="B8:B9"/>
    <mergeCell ref="B10:B14"/>
    <mergeCell ref="D18:E18"/>
    <mergeCell ref="F18:G18"/>
    <mergeCell ref="H18:I18"/>
    <mergeCell ref="D19:E19"/>
    <mergeCell ref="F19:G19"/>
    <mergeCell ref="H19:I19"/>
    <mergeCell ref="B15:I15"/>
    <mergeCell ref="D16:E16"/>
    <mergeCell ref="F16:G16"/>
    <mergeCell ref="H16:I16"/>
    <mergeCell ref="D17:E17"/>
    <mergeCell ref="F17:G17"/>
    <mergeCell ref="H17:I17"/>
    <mergeCell ref="B1:I2"/>
    <mergeCell ref="D20:E20"/>
    <mergeCell ref="F20:G20"/>
    <mergeCell ref="H20:I20"/>
    <mergeCell ref="B4:B7"/>
  </mergeCells>
  <phoneticPr fontId="21" type="noConversion"/>
  <conditionalFormatting sqref="C23:C24 L5:M7">
    <cfRule type="cellIs" dxfId="68" priority="98" operator="equal">
      <formula>0</formula>
    </cfRule>
    <cfRule type="cellIs" dxfId="67" priority="99" operator="lessThan">
      <formula>0</formula>
    </cfRule>
    <cfRule type="cellIs" dxfId="66" priority="100" operator="greaterThan">
      <formula>0</formula>
    </cfRule>
  </conditionalFormatting>
  <conditionalFormatting sqref="F4:F14">
    <cfRule type="dataBar" priority="124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{988A509D-16E0-4172-8AEF-8362BD65611D}</x14:id>
        </ext>
      </extLst>
    </cfRule>
  </conditionalFormatting>
  <conditionalFormatting sqref="G4:H5 G4:G14 G7:H14">
    <cfRule type="cellIs" dxfId="65" priority="25" operator="equal">
      <formula>0</formula>
    </cfRule>
    <cfRule type="cellIs" dxfId="64" priority="26" operator="lessThan">
      <formula>0</formula>
    </cfRule>
    <cfRule type="cellIs" dxfId="63" priority="27" operator="greaterThan">
      <formula>0</formula>
    </cfRule>
  </conditionalFormatting>
  <conditionalFormatting sqref="K8:K9">
    <cfRule type="cellIs" dxfId="62" priority="144" operator="equal">
      <formula>0</formula>
    </cfRule>
    <cfRule type="cellIs" dxfId="61" priority="145" operator="lessThan">
      <formula>0</formula>
    </cfRule>
    <cfRule type="cellIs" dxfId="60" priority="146" operator="greaterThan">
      <formula>0</formula>
    </cfRule>
  </conditionalFormatting>
  <conditionalFormatting sqref="L1:L2">
    <cfRule type="cellIs" dxfId="59" priority="57" operator="equal">
      <formula>0</formula>
    </cfRule>
    <cfRule type="cellIs" dxfId="58" priority="58" operator="lessThan">
      <formula>0</formula>
    </cfRule>
    <cfRule type="cellIs" dxfId="57" priority="59" operator="greaterThan">
      <formula>0</formula>
    </cfRule>
  </conditionalFormatting>
  <pageMargins left="0.69930555555555596" right="0.69930555555555596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8A509D-16E0-4172-8AEF-8362BD65611D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m:sqref>F4:F14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32"/>
  <sheetViews>
    <sheetView zoomScale="70" zoomScaleNormal="70" workbookViewId="0">
      <selection activeCell="H5" sqref="H5"/>
    </sheetView>
  </sheetViews>
  <sheetFormatPr defaultColWidth="9" defaultRowHeight="70.2" customHeight="1" x14ac:dyDescent="0.25"/>
  <cols>
    <col min="1" max="1" width="24.66406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6.44140625" customWidth="1"/>
  </cols>
  <sheetData>
    <row r="1" spans="1:11" ht="42" customHeight="1" x14ac:dyDescent="0.25">
      <c r="B1" s="84" t="str">
        <f ca="1">"优选基金&amp;售后跟踪"&amp;TEXT(TODAY(),"(yyyy-mm-dd)")</f>
        <v>优选基金&amp;售后跟踪(2022-12-10)</v>
      </c>
      <c r="C1" s="85"/>
      <c r="D1" s="85"/>
      <c r="E1" s="85"/>
      <c r="F1" s="85"/>
      <c r="G1" s="85"/>
      <c r="H1" s="85"/>
      <c r="I1" s="85"/>
      <c r="J1" s="18"/>
    </row>
    <row r="2" spans="1:11" ht="45" customHeight="1" x14ac:dyDescent="0.25">
      <c r="B2" s="87"/>
      <c r="C2" s="88"/>
      <c r="D2" s="88"/>
      <c r="E2" s="88"/>
      <c r="F2" s="88"/>
      <c r="G2" s="88"/>
      <c r="H2" s="88"/>
      <c r="I2" s="88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37" t="s">
        <v>66</v>
      </c>
      <c r="B4" s="57" t="s">
        <v>9</v>
      </c>
      <c r="C4" s="12" t="s">
        <v>23</v>
      </c>
      <c r="D4" s="6">
        <v>44559</v>
      </c>
      <c r="E4" s="11">
        <f>VLOOKUP(A4,'最终 数据源'!$1:$1048576,4,FALSE)</f>
        <v>0.8962</v>
      </c>
      <c r="F4" s="8">
        <f>VLOOKUP(A4,'最终 数据源'!$1:$1048576,5,FALSE)</f>
        <v>1.5984999999999999E-2</v>
      </c>
      <c r="G4" s="34">
        <f>VLOOKUP(A4,'最终 数据源'!$1:$1048576,6,FALSE)</f>
        <v>-1.8186000000000001E-2</v>
      </c>
      <c r="H4" s="34">
        <f>VLOOKUP(A4,'最终 数据源'!$1:$1048576,7,FALSE)</f>
        <v>-0.10371000000000001</v>
      </c>
      <c r="I4" s="9" t="s">
        <v>14</v>
      </c>
    </row>
    <row r="5" spans="1:11" ht="66" customHeight="1" x14ac:dyDescent="0.25">
      <c r="A5" s="39" t="s">
        <v>118</v>
      </c>
      <c r="B5" s="114" t="s">
        <v>105</v>
      </c>
      <c r="C5" s="5" t="s">
        <v>119</v>
      </c>
      <c r="D5" s="10">
        <v>44699</v>
      </c>
      <c r="E5" s="11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204</v>
      </c>
      <c r="I5" s="12" t="s">
        <v>120</v>
      </c>
    </row>
    <row r="6" spans="1:11" ht="66" hidden="1" customHeight="1" x14ac:dyDescent="0.25">
      <c r="A6" s="39" t="s">
        <v>90</v>
      </c>
      <c r="B6" s="115"/>
      <c r="C6" s="5" t="e">
        <f>国盛证券!#REF!</f>
        <v>#REF!</v>
      </c>
      <c r="D6" s="10" t="e">
        <f>国盛证券!#REF!</f>
        <v>#REF!</v>
      </c>
      <c r="E6" s="11">
        <f>VLOOKUP(A6,'最终 数据源'!$A$2:$G$18,4,FALSE)</f>
        <v>1.0718000000000001</v>
      </c>
      <c r="F6" s="8">
        <f>VLOOKUP(A6,'最终 数据源'!$A$2:$G$18,5,FALSE)</f>
        <v>-9.2999999999999997E-5</v>
      </c>
      <c r="G6" s="34">
        <f>VLOOKUP(A6,'最终 数据源'!$A$2:$G$18,6,FALSE)</f>
        <v>-5.5900000000000004E-4</v>
      </c>
      <c r="H6" s="34">
        <f>VLOOKUP(A6,'最终 数据源'!$A$2:$G$18,7,FALSE)</f>
        <v>1.4674E-2</v>
      </c>
      <c r="I6" s="12" t="e">
        <f>国盛证券!#REF!</f>
        <v>#REF!</v>
      </c>
    </row>
    <row r="7" spans="1:11" s="21" customFormat="1" ht="66" hidden="1" customHeight="1" x14ac:dyDescent="0.25">
      <c r="A7" s="43" t="s">
        <v>102</v>
      </c>
      <c r="B7" s="116"/>
      <c r="C7" s="51" t="str">
        <f>国盛证券!C7</f>
        <v>平安短债
（005754）</v>
      </c>
      <c r="D7" s="52">
        <f>国盛证券!D7</f>
        <v>43236</v>
      </c>
      <c r="E7" s="11">
        <f>VLOOKUP(A7,'最终 数据源'!$A$2:$G$18,4,FALSE)</f>
        <v>1.1447000000000001</v>
      </c>
      <c r="F7" s="8">
        <f>VLOOKUP(A7,'最终 数据源'!$A$2:$G$18,5,FALSE)</f>
        <v>-1.7500000000000003E-4</v>
      </c>
      <c r="G7" s="34">
        <f>VLOOKUP(A7,'最终 数据源'!$A$2:$G$18,6,FALSE)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</row>
    <row r="8" spans="1:11" ht="66" hidden="1" customHeight="1" x14ac:dyDescent="0.25">
      <c r="A8" s="39" t="s">
        <v>95</v>
      </c>
      <c r="B8" s="69"/>
      <c r="C8" s="12" t="s">
        <v>15</v>
      </c>
      <c r="D8" s="10">
        <v>42033</v>
      </c>
      <c r="E8" s="11">
        <f>VLOOKUP(A8,'最终 数据源'!$A$2:$G$18,4,FALSE)</f>
        <v>2.722</v>
      </c>
      <c r="F8" s="8">
        <f>VLOOKUP(A8,'最终 数据源'!$A$2:$G$18,5,FALSE)</f>
        <v>9.2700000000000005E-3</v>
      </c>
      <c r="G8" s="34">
        <f>VLOOKUP(A8,'最终 数据源'!$A$2:$G$18,6,FALSE)</f>
        <v>1.6050999999999999E-2</v>
      </c>
      <c r="H8" s="34">
        <f>VLOOKUP(A8,'最终 数据源'!$A$2:$G$18,7,FALSE)</f>
        <v>-0.11738</v>
      </c>
      <c r="I8" s="12" t="s">
        <v>16</v>
      </c>
      <c r="K8" s="20">
        <f>广发证券!K9</f>
        <v>0.28352300000000003</v>
      </c>
    </row>
    <row r="9" spans="1:11" ht="45" customHeight="1" x14ac:dyDescent="0.25">
      <c r="B9" s="117" t="s">
        <v>24</v>
      </c>
      <c r="C9" s="118"/>
      <c r="D9" s="118"/>
      <c r="E9" s="118"/>
      <c r="F9" s="118"/>
      <c r="G9" s="118"/>
      <c r="H9" s="118"/>
      <c r="I9" s="119"/>
    </row>
    <row r="10" spans="1:11" ht="66" customHeight="1" x14ac:dyDescent="0.25">
      <c r="B10" s="14" t="s">
        <v>25</v>
      </c>
      <c r="C10" s="10" t="s">
        <v>26</v>
      </c>
      <c r="D10" s="105" t="s">
        <v>27</v>
      </c>
      <c r="E10" s="106"/>
      <c r="F10" s="112" t="s">
        <v>28</v>
      </c>
      <c r="G10" s="113"/>
      <c r="H10" s="112" t="s">
        <v>29</v>
      </c>
      <c r="I10" s="113"/>
    </row>
    <row r="11" spans="1:11" ht="66" customHeight="1" x14ac:dyDescent="0.25">
      <c r="B11" s="14" t="s">
        <v>30</v>
      </c>
      <c r="C11" s="10" t="s">
        <v>31</v>
      </c>
      <c r="D11" s="105" t="s">
        <v>32</v>
      </c>
      <c r="E11" s="106"/>
      <c r="F11" s="112" t="s">
        <v>33</v>
      </c>
      <c r="G11" s="113"/>
      <c r="H11" s="112" t="s">
        <v>32</v>
      </c>
      <c r="I11" s="113"/>
    </row>
    <row r="12" spans="1:11" ht="66" customHeight="1" x14ac:dyDescent="0.25">
      <c r="B12" s="14" t="s">
        <v>34</v>
      </c>
      <c r="C12" s="10" t="s">
        <v>35</v>
      </c>
      <c r="D12" s="101" t="s">
        <v>110</v>
      </c>
      <c r="E12" s="102"/>
      <c r="F12" s="103" t="s">
        <v>111</v>
      </c>
      <c r="G12" s="104"/>
      <c r="H12" s="101" t="s">
        <v>36</v>
      </c>
      <c r="I12" s="102"/>
    </row>
    <row r="13" spans="1:11" ht="66" customHeight="1" x14ac:dyDescent="0.25">
      <c r="B13" s="14" t="s">
        <v>37</v>
      </c>
    </row>
    <row r="14" spans="1:11" ht="160.94999999999999" customHeight="1" x14ac:dyDescent="0.25">
      <c r="B14" s="14" t="s">
        <v>38</v>
      </c>
      <c r="C14" s="42" t="s">
        <v>39</v>
      </c>
      <c r="D14" s="90" t="s">
        <v>40</v>
      </c>
      <c r="E14" s="91"/>
      <c r="F14" s="92" t="s">
        <v>41</v>
      </c>
      <c r="G14" s="93"/>
      <c r="H14" s="90" t="s">
        <v>42</v>
      </c>
      <c r="I14" s="91"/>
    </row>
    <row r="15" spans="1:11" ht="36" customHeight="1" x14ac:dyDescent="0.25">
      <c r="B15" s="95" t="s">
        <v>43</v>
      </c>
      <c r="C15" s="96"/>
      <c r="D15" s="96"/>
      <c r="E15" s="96"/>
      <c r="F15" s="96"/>
      <c r="G15" s="96"/>
      <c r="H15" s="96"/>
      <c r="I15" s="97"/>
    </row>
    <row r="16" spans="1:11" ht="43.95" customHeight="1" x14ac:dyDescent="0.25"/>
    <row r="17" spans="2:10" ht="43.95" customHeight="1" x14ac:dyDescent="0.25"/>
    <row r="18" spans="2:10" ht="43.95" customHeight="1" x14ac:dyDescent="0.25"/>
    <row r="21" spans="2:10" ht="41.25" customHeight="1" x14ac:dyDescent="0.25"/>
    <row r="22" spans="2:10" ht="41.25" customHeight="1" x14ac:dyDescent="0.25"/>
    <row r="26" spans="2:10" ht="41.25" customHeight="1" x14ac:dyDescent="0.25"/>
    <row r="29" spans="2:10" ht="70.2" customHeight="1" x14ac:dyDescent="0.25">
      <c r="B29" s="15"/>
      <c r="C29" s="16"/>
      <c r="D29" s="17"/>
      <c r="E29" s="17"/>
      <c r="F29" s="18"/>
      <c r="G29" s="18"/>
      <c r="H29" s="18"/>
      <c r="I29" s="18"/>
      <c r="J29" s="18"/>
    </row>
    <row r="30" spans="2:10" ht="70.2" customHeight="1" x14ac:dyDescent="0.25">
      <c r="J30" s="18"/>
    </row>
    <row r="31" spans="2:10" ht="70.2" customHeight="1" x14ac:dyDescent="0.25">
      <c r="J31" s="18"/>
    </row>
    <row r="32" spans="2:10" ht="70.2" customHeight="1" x14ac:dyDescent="0.25">
      <c r="J32" s="18"/>
    </row>
  </sheetData>
  <mergeCells count="16">
    <mergeCell ref="B15:I15"/>
    <mergeCell ref="D12:E12"/>
    <mergeCell ref="F12:G12"/>
    <mergeCell ref="H12:I12"/>
    <mergeCell ref="B1:I2"/>
    <mergeCell ref="D14:E14"/>
    <mergeCell ref="F14:G14"/>
    <mergeCell ref="H14:I14"/>
    <mergeCell ref="B5:B7"/>
    <mergeCell ref="B9:I9"/>
    <mergeCell ref="D10:E10"/>
    <mergeCell ref="F10:G10"/>
    <mergeCell ref="H10:I10"/>
    <mergeCell ref="D11:E11"/>
    <mergeCell ref="F11:G11"/>
    <mergeCell ref="H11:I11"/>
  </mergeCells>
  <phoneticPr fontId="21" type="noConversion"/>
  <conditionalFormatting sqref="F4:F8">
    <cfRule type="dataBar" priority="116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{56EFFBFC-66CA-4A21-A15A-3E3C741E5FF6}</x14:id>
        </ext>
      </extLst>
    </cfRule>
    <cfRule type="dataBar" priority="116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{04A3BFBD-DA7C-42C6-8F6F-BFCFE0EAABA3}</x14:id>
        </ext>
      </extLst>
    </cfRule>
    <cfRule type="dataBar" priority="117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{2D70B67B-42A0-4D22-8DC8-D6222B73B2A6}</x14:id>
        </ext>
      </extLst>
    </cfRule>
    <cfRule type="dataBar" priority="117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{4B97C838-094E-4DA1-8693-70076103725D}</x14:id>
        </ext>
      </extLst>
    </cfRule>
    <cfRule type="dataBar" priority="117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{BF895F06-8B1A-4008-8A81-E55478B9061A}</x14:id>
        </ext>
      </extLst>
    </cfRule>
    <cfRule type="dataBar" priority="117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{96CB5564-BA49-40CC-8841-4824DA6D3172}</x14:id>
        </ext>
      </extLst>
    </cfRule>
  </conditionalFormatting>
  <conditionalFormatting sqref="G4:H4 G6:H8 G5">
    <cfRule type="cellIs" dxfId="56" priority="1" operator="equal">
      <formula>0</formula>
    </cfRule>
    <cfRule type="cellIs" dxfId="55" priority="2" operator="lessThan">
      <formula>0</formula>
    </cfRule>
    <cfRule type="cellIs" dxfId="54" priority="3" operator="greaterThan">
      <formula>0</formula>
    </cfRule>
  </conditionalFormatting>
  <conditionalFormatting sqref="K8">
    <cfRule type="cellIs" dxfId="53" priority="588" operator="equal">
      <formula>0</formula>
    </cfRule>
    <cfRule type="cellIs" dxfId="52" priority="589" operator="lessThan">
      <formula>0</formula>
    </cfRule>
    <cfRule type="cellIs" dxfId="51" priority="590" operator="greaterThan">
      <formula>0</formula>
    </cfRule>
  </conditionalFormatting>
  <pageMargins left="0.69930555555555596" right="0.69930555555555596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EFFBFC-66CA-4A21-A15A-3E3C741E5FF6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04A3BFBD-DA7C-42C6-8F6F-BFCFE0EAABA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D70B67B-42A0-4D22-8DC8-D6222B73B2A6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4B97C838-094E-4DA1-8693-70076103725D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BF895F06-8B1A-4008-8A81-E55478B9061A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96CB5564-BA49-40CC-8841-4824DA6D31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rgb="FFFFFF00"/>
  </sheetPr>
  <dimension ref="A1:K34"/>
  <sheetViews>
    <sheetView zoomScale="55" zoomScaleNormal="55" workbookViewId="0">
      <selection activeCell="H5" sqref="H5"/>
    </sheetView>
  </sheetViews>
  <sheetFormatPr defaultColWidth="9" defaultRowHeight="70.2" customHeight="1" x14ac:dyDescent="0.25"/>
  <cols>
    <col min="1" max="1" width="25.10937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5.44140625" customWidth="1"/>
  </cols>
  <sheetData>
    <row r="1" spans="1:11" ht="42" customHeight="1" x14ac:dyDescent="0.25">
      <c r="B1" s="84" t="str">
        <f ca="1">"优选基金&amp;售后跟踪"&amp;TEXT(TODAY(),"(yyyy-mm-dd)")</f>
        <v>优选基金&amp;售后跟踪(2022-12-10)</v>
      </c>
      <c r="C1" s="85"/>
      <c r="D1" s="85"/>
      <c r="E1" s="85"/>
      <c r="F1" s="85"/>
      <c r="G1" s="85"/>
      <c r="H1" s="85"/>
      <c r="I1" s="85"/>
      <c r="J1" s="18"/>
    </row>
    <row r="2" spans="1:11" ht="45" customHeight="1" x14ac:dyDescent="0.25">
      <c r="B2" s="87"/>
      <c r="C2" s="88"/>
      <c r="D2" s="88"/>
      <c r="E2" s="88"/>
      <c r="F2" s="88"/>
      <c r="G2" s="88"/>
      <c r="H2" s="88"/>
      <c r="I2" s="88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0.45" customHeight="1" x14ac:dyDescent="0.25">
      <c r="A4" s="39" t="s">
        <v>98</v>
      </c>
      <c r="B4" s="3" t="s">
        <v>9</v>
      </c>
      <c r="C4" s="5" t="s">
        <v>13</v>
      </c>
      <c r="D4" s="6">
        <v>41058</v>
      </c>
      <c r="E4" s="11">
        <f>VLOOKUP(A4,'最终 数据源'!$1:$1048576,4,FALSE)</f>
        <v>5.4939999999999998</v>
      </c>
      <c r="F4" s="8">
        <f>VLOOKUP(A4,'最终 数据源'!$1:$1048576,5,FALSE)</f>
        <v>1.8349999999999998E-2</v>
      </c>
      <c r="G4" s="34">
        <f>VLOOKUP(A4,'最终 数据源'!$1:$1048576,6,FALSE)</f>
        <v>-1.8752999999999999E-2</v>
      </c>
      <c r="H4" s="34">
        <f>VLOOKUP(A4,'最终 数据源'!$1:$1048576,7,FALSE)</f>
        <v>-0.15891</v>
      </c>
      <c r="I4" s="9" t="s">
        <v>14</v>
      </c>
      <c r="K4" s="20" t="e">
        <v>#NAME?</v>
      </c>
    </row>
    <row r="5" spans="1:11" ht="66" customHeight="1" x14ac:dyDescent="0.25">
      <c r="A5" s="39" t="s">
        <v>118</v>
      </c>
      <c r="B5" s="120" t="s">
        <v>105</v>
      </c>
      <c r="C5" s="5" t="s">
        <v>140</v>
      </c>
      <c r="D5" s="10">
        <v>44699</v>
      </c>
      <c r="E5" s="11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204</v>
      </c>
      <c r="I5" s="12" t="s">
        <v>120</v>
      </c>
    </row>
    <row r="6" spans="1:11" ht="66" hidden="1" customHeight="1" x14ac:dyDescent="0.25">
      <c r="A6" s="39" t="s">
        <v>94</v>
      </c>
      <c r="B6" s="121"/>
      <c r="C6" s="5" t="e">
        <f>国盛证券!#REF!</f>
        <v>#REF!</v>
      </c>
      <c r="D6" s="10" t="e">
        <f>国盛证券!#REF!</f>
        <v>#REF!</v>
      </c>
      <c r="E6" s="11">
        <f>VLOOKUP(A6,'最终 数据源'!$1:$1048576,4,FALSE)</f>
        <v>1.0718000000000001</v>
      </c>
      <c r="F6" s="8">
        <f>VLOOKUP(A6,'最终 数据源'!$1:$1048576,5,FALSE)</f>
        <v>-9.2999999999999997E-5</v>
      </c>
      <c r="G6" s="34">
        <f>VLOOKUP(A6,'最终 数据源'!$1:$1048576,6,FALSE)</f>
        <v>-5.5900000000000004E-4</v>
      </c>
      <c r="H6" s="34">
        <f>VLOOKUP(A6,'最终 数据源'!$A$2:$G$18,7,FALSE)</f>
        <v>1.4674E-2</v>
      </c>
      <c r="I6" s="12" t="e">
        <f>国盛证券!#REF!</f>
        <v>#REF!</v>
      </c>
    </row>
    <row r="7" spans="1:11" s="21" customFormat="1" ht="66" hidden="1" customHeight="1" x14ac:dyDescent="0.25">
      <c r="A7" s="43" t="s">
        <v>93</v>
      </c>
      <c r="B7" s="122"/>
      <c r="C7" s="51" t="str">
        <f>国盛证券!C7</f>
        <v>平安短债
（005754）</v>
      </c>
      <c r="D7" s="52">
        <f>国盛证券!D7</f>
        <v>43236</v>
      </c>
      <c r="E7" s="11">
        <f>VLOOKUP(A7,'最终 数据源'!$1:$1048576,4,FALSE)</f>
        <v>1.1447000000000001</v>
      </c>
      <c r="F7" s="8">
        <f>VLOOKUP(A7,'最终 数据源'!$1:$1048576,5,FALSE)</f>
        <v>-1.7500000000000003E-4</v>
      </c>
      <c r="G7" s="34">
        <f>VLOOKUP(A7,'最终 数据源'!$1:$1048576,6,FALSE)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</row>
    <row r="8" spans="1:11" ht="66" hidden="1" customHeight="1" x14ac:dyDescent="0.25">
      <c r="A8" s="39" t="s">
        <v>95</v>
      </c>
      <c r="B8" s="36" t="s">
        <v>74</v>
      </c>
      <c r="C8" s="12" t="s">
        <v>15</v>
      </c>
      <c r="D8" s="10">
        <v>42033</v>
      </c>
      <c r="E8" s="11">
        <f>VLOOKUP(A8,'最终 数据源'!$1:$1048576,4,FALSE)</f>
        <v>2.722</v>
      </c>
      <c r="F8" s="8">
        <f>VLOOKUP(A8,'最终 数据源'!$1:$1048576,5,FALSE)</f>
        <v>9.2700000000000005E-3</v>
      </c>
      <c r="G8" s="34">
        <f>VLOOKUP(A8,'最终 数据源'!$1:$1048576,6,FALSE)</f>
        <v>1.6050999999999999E-2</v>
      </c>
      <c r="H8" s="34">
        <f>VLOOKUP(A8,'最终 数据源'!$A$2:$G$18,7,FALSE)</f>
        <v>-0.11738</v>
      </c>
      <c r="I8" s="12" t="s">
        <v>16</v>
      </c>
      <c r="K8" s="20" t="e">
        <v>#NAME?</v>
      </c>
    </row>
    <row r="9" spans="1:11" ht="66" customHeight="1" x14ac:dyDescent="0.25">
      <c r="A9" s="39" t="s">
        <v>72</v>
      </c>
      <c r="B9" s="123" t="s">
        <v>52</v>
      </c>
      <c r="C9" s="12" t="s">
        <v>57</v>
      </c>
      <c r="D9" s="6">
        <v>44530</v>
      </c>
      <c r="E9" s="11">
        <f>VLOOKUP(A9,'最终 数据源'!$1:$1048576,4,FALSE)</f>
        <v>0.77849999999999997</v>
      </c>
      <c r="F9" s="8">
        <f>VLOOKUP(A9,'最终 数据源'!$1:$1048576,5,FALSE)</f>
        <v>2.2593000000000002E-2</v>
      </c>
      <c r="G9" s="34">
        <f>VLOOKUP(A9,'最终 数据源'!$1:$1048576,6,FALSE)</f>
        <v>-4.7938999999999996E-2</v>
      </c>
      <c r="H9" s="34">
        <f>VLOOKUP(A9,'最终 数据源'!$1:$1048576,7,FALSE)</f>
        <v>-0.21923600000000001</v>
      </c>
      <c r="I9" s="12" t="s">
        <v>10</v>
      </c>
      <c r="J9" s="21"/>
    </row>
    <row r="10" spans="1:11" ht="66" customHeight="1" x14ac:dyDescent="0.25">
      <c r="A10" s="39" t="s">
        <v>109</v>
      </c>
      <c r="B10" s="124"/>
      <c r="C10" s="12" t="s">
        <v>23</v>
      </c>
      <c r="D10" s="6">
        <v>44559</v>
      </c>
      <c r="E10" s="11">
        <f>VLOOKUP(A10,'最终 数据源'!$1:$1048576,4,FALSE)</f>
        <v>0.8962</v>
      </c>
      <c r="F10" s="8">
        <f>VLOOKUP(A10,'最终 数据源'!$1:$1048576,5,FALSE)</f>
        <v>1.5984999999999999E-2</v>
      </c>
      <c r="G10" s="34">
        <f>VLOOKUP(A10,'最终 数据源'!$1:$1048576,6,FALSE)</f>
        <v>-1.8186000000000001E-2</v>
      </c>
      <c r="H10" s="34">
        <f>VLOOKUP(A10,'最终 数据源'!$1:$1048576,7,FALSE)</f>
        <v>-0.10371000000000001</v>
      </c>
      <c r="I10" s="9" t="s">
        <v>14</v>
      </c>
    </row>
    <row r="11" spans="1:11" ht="45" customHeight="1" x14ac:dyDescent="0.25">
      <c r="B11" s="117" t="s">
        <v>24</v>
      </c>
      <c r="C11" s="118"/>
      <c r="D11" s="118"/>
      <c r="E11" s="118"/>
      <c r="F11" s="118"/>
      <c r="G11" s="118"/>
      <c r="H11" s="118"/>
      <c r="I11" s="119"/>
    </row>
    <row r="12" spans="1:11" ht="66" customHeight="1" x14ac:dyDescent="0.25">
      <c r="B12" s="14" t="s">
        <v>25</v>
      </c>
      <c r="C12" s="10" t="s">
        <v>26</v>
      </c>
      <c r="D12" s="105" t="s">
        <v>27</v>
      </c>
      <c r="E12" s="106"/>
      <c r="F12" s="112" t="s">
        <v>28</v>
      </c>
      <c r="G12" s="113"/>
      <c r="H12" s="112" t="s">
        <v>29</v>
      </c>
      <c r="I12" s="113"/>
    </row>
    <row r="13" spans="1:11" ht="66" customHeight="1" x14ac:dyDescent="0.25">
      <c r="B13" s="14" t="s">
        <v>30</v>
      </c>
      <c r="C13" s="10" t="s">
        <v>31</v>
      </c>
      <c r="D13" s="105" t="s">
        <v>32</v>
      </c>
      <c r="E13" s="106"/>
      <c r="F13" s="112" t="s">
        <v>33</v>
      </c>
      <c r="G13" s="113"/>
      <c r="H13" s="112" t="s">
        <v>32</v>
      </c>
      <c r="I13" s="113"/>
    </row>
    <row r="14" spans="1:11" ht="66" customHeight="1" x14ac:dyDescent="0.25">
      <c r="B14" s="14" t="s">
        <v>34</v>
      </c>
      <c r="C14" s="10" t="s">
        <v>35</v>
      </c>
      <c r="D14" s="101" t="s">
        <v>110</v>
      </c>
      <c r="E14" s="102"/>
      <c r="F14" s="103" t="s">
        <v>111</v>
      </c>
      <c r="G14" s="104"/>
      <c r="H14" s="101" t="s">
        <v>36</v>
      </c>
      <c r="I14" s="102"/>
    </row>
    <row r="15" spans="1:11" ht="66" customHeight="1" x14ac:dyDescent="0.25">
      <c r="B15" s="14" t="s">
        <v>37</v>
      </c>
    </row>
    <row r="16" spans="1:11" ht="160.94999999999999" customHeight="1" x14ac:dyDescent="0.25">
      <c r="B16" s="14" t="s">
        <v>38</v>
      </c>
      <c r="C16" s="42" t="s">
        <v>39</v>
      </c>
      <c r="D16" s="90" t="s">
        <v>40</v>
      </c>
      <c r="E16" s="91"/>
      <c r="F16" s="92" t="s">
        <v>41</v>
      </c>
      <c r="G16" s="93"/>
      <c r="H16" s="90" t="s">
        <v>42</v>
      </c>
      <c r="I16" s="91"/>
    </row>
    <row r="17" spans="2:10" ht="36" customHeight="1" x14ac:dyDescent="0.25">
      <c r="B17" s="95" t="s">
        <v>43</v>
      </c>
      <c r="C17" s="96"/>
      <c r="D17" s="96"/>
      <c r="E17" s="96"/>
      <c r="F17" s="96"/>
      <c r="G17" s="96"/>
      <c r="H17" s="96"/>
      <c r="I17" s="97"/>
    </row>
    <row r="18" spans="2:10" ht="43.95" customHeight="1" x14ac:dyDescent="0.25"/>
    <row r="19" spans="2:10" ht="43.95" customHeight="1" x14ac:dyDescent="0.25"/>
    <row r="20" spans="2:10" ht="43.95" customHeight="1" x14ac:dyDescent="0.25"/>
    <row r="23" spans="2:10" ht="41.25" customHeight="1" x14ac:dyDescent="0.25"/>
    <row r="24" spans="2:10" ht="41.25" customHeight="1" x14ac:dyDescent="0.25"/>
    <row r="28" spans="2:10" ht="41.25" customHeight="1" x14ac:dyDescent="0.25"/>
    <row r="30" spans="2:10" ht="70.2" customHeight="1" x14ac:dyDescent="0.25">
      <c r="B30" s="15"/>
      <c r="C30" s="16"/>
      <c r="D30" s="17"/>
      <c r="E30" s="17"/>
      <c r="F30" s="18"/>
      <c r="G30" s="18"/>
      <c r="H30" s="18"/>
      <c r="I30" s="18"/>
      <c r="J30" s="18"/>
    </row>
    <row r="31" spans="2:10" ht="70.2" customHeight="1" x14ac:dyDescent="0.25">
      <c r="B31" s="15"/>
      <c r="C31" s="16"/>
      <c r="D31" s="17"/>
      <c r="E31" s="17"/>
      <c r="F31" s="18"/>
      <c r="G31" s="18"/>
      <c r="H31" s="18"/>
      <c r="I31" s="18"/>
      <c r="J31" s="18"/>
    </row>
    <row r="32" spans="2:10" ht="70.2" customHeight="1" x14ac:dyDescent="0.25">
      <c r="J32" s="18"/>
    </row>
    <row r="33" spans="10:10" ht="70.2" customHeight="1" x14ac:dyDescent="0.25">
      <c r="J33" s="18"/>
    </row>
    <row r="34" spans="10:10" ht="70.2" customHeight="1" x14ac:dyDescent="0.25">
      <c r="J34" s="18"/>
    </row>
  </sheetData>
  <mergeCells count="17">
    <mergeCell ref="B17:I17"/>
    <mergeCell ref="B9:B10"/>
    <mergeCell ref="D14:E14"/>
    <mergeCell ref="F14:G14"/>
    <mergeCell ref="H14:I14"/>
    <mergeCell ref="B11:I11"/>
    <mergeCell ref="D12:E12"/>
    <mergeCell ref="F12:G12"/>
    <mergeCell ref="H12:I12"/>
    <mergeCell ref="D13:E13"/>
    <mergeCell ref="F13:G13"/>
    <mergeCell ref="H13:I13"/>
    <mergeCell ref="B1:I2"/>
    <mergeCell ref="B5:B7"/>
    <mergeCell ref="D16:E16"/>
    <mergeCell ref="F16:G16"/>
    <mergeCell ref="H16:I16"/>
  </mergeCells>
  <phoneticPr fontId="21" type="noConversion"/>
  <conditionalFormatting sqref="F4:F10">
    <cfRule type="dataBar" priority="46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{F640D46C-85A9-4B32-8A3A-05B76C6FF048}</x14:id>
        </ext>
      </extLst>
    </cfRule>
    <cfRule type="dataBar" priority="46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{95F08ECA-2C89-49F7-8D4B-3EE51AD70C09}</x14:id>
        </ext>
      </extLst>
    </cfRule>
    <cfRule type="dataBar" priority="46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{6D116B26-FB95-4146-91D5-79182EF26C6F}</x14:id>
        </ext>
      </extLst>
    </cfRule>
    <cfRule type="dataBar" priority="46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{E7C8E9C2-1E6E-4EA6-8FA4-464ECA0A89C6}</x14:id>
        </ext>
      </extLst>
    </cfRule>
    <cfRule type="dataBar" priority="46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{77908AEF-9551-48AC-B1FD-D77F35D60F25}</x14:id>
        </ext>
      </extLst>
    </cfRule>
    <cfRule type="dataBar" priority="46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{9FB8F2F2-FA3D-4EFD-9EAB-F9DA5F1CA2B0}</x14:id>
        </ext>
      </extLst>
    </cfRule>
  </conditionalFormatting>
  <conditionalFormatting sqref="G4:H4 G5:G10 H6:H10">
    <cfRule type="cellIs" dxfId="50" priority="1" operator="equal">
      <formula>0</formula>
    </cfRule>
    <cfRule type="cellIs" dxfId="49" priority="2" operator="lessThan">
      <formula>0</formula>
    </cfRule>
    <cfRule type="cellIs" dxfId="48" priority="3" operator="greaterThan">
      <formula>0</formula>
    </cfRule>
  </conditionalFormatting>
  <conditionalFormatting sqref="K4">
    <cfRule type="cellIs" dxfId="47" priority="628" operator="equal">
      <formula>0</formula>
    </cfRule>
    <cfRule type="cellIs" dxfId="46" priority="629" operator="lessThan">
      <formula>0</formula>
    </cfRule>
    <cfRule type="cellIs" dxfId="45" priority="630" operator="greaterThan">
      <formula>0</formula>
    </cfRule>
  </conditionalFormatting>
  <conditionalFormatting sqref="K8">
    <cfRule type="cellIs" dxfId="44" priority="555" operator="equal">
      <formula>0</formula>
    </cfRule>
    <cfRule type="cellIs" dxfId="43" priority="556" operator="lessThan">
      <formula>0</formula>
    </cfRule>
    <cfRule type="cellIs" dxfId="42" priority="557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40D46C-85A9-4B32-8A3A-05B76C6FF048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95F08ECA-2C89-49F7-8D4B-3EE51AD70C09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6D116B26-FB95-4146-91D5-79182EF26C6F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E7C8E9C2-1E6E-4EA6-8FA4-464ECA0A89C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908AEF-9551-48AC-B1FD-D77F35D60F25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9FB8F2F2-FA3D-4EFD-9EAB-F9DA5F1CA2B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m:sqref>F4:F10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K31"/>
  <sheetViews>
    <sheetView zoomScale="50" zoomScaleNormal="40" workbookViewId="0">
      <selection activeCell="H5" sqref="H5"/>
    </sheetView>
  </sheetViews>
  <sheetFormatPr defaultColWidth="9" defaultRowHeight="70.2" customHeight="1" x14ac:dyDescent="0.25"/>
  <cols>
    <col min="1" max="1" width="24.66406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8.77734375" customWidth="1"/>
  </cols>
  <sheetData>
    <row r="1" spans="1:11" ht="42" customHeight="1" x14ac:dyDescent="0.25">
      <c r="B1" s="84" t="str">
        <f ca="1">"优选基金&amp;售后跟踪"&amp;TEXT(TODAY(),"(yyyy-mm-dd)")</f>
        <v>优选基金&amp;售后跟踪(2022-12-10)</v>
      </c>
      <c r="C1" s="85"/>
      <c r="D1" s="85"/>
      <c r="E1" s="85"/>
      <c r="F1" s="85"/>
      <c r="G1" s="85"/>
      <c r="H1" s="85"/>
      <c r="I1" s="85"/>
      <c r="J1" s="18"/>
    </row>
    <row r="2" spans="1:11" ht="45" customHeight="1" x14ac:dyDescent="0.25">
      <c r="B2" s="87"/>
      <c r="C2" s="88"/>
      <c r="D2" s="88"/>
      <c r="E2" s="88"/>
      <c r="F2" s="88"/>
      <c r="G2" s="88"/>
      <c r="H2" s="88"/>
      <c r="I2" s="88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8.7" customHeight="1" x14ac:dyDescent="0.25">
      <c r="A4" s="39" t="s">
        <v>101</v>
      </c>
      <c r="B4" s="3" t="s">
        <v>9</v>
      </c>
      <c r="C4" s="5" t="s">
        <v>47</v>
      </c>
      <c r="D4" s="6">
        <v>42839</v>
      </c>
      <c r="E4" s="7">
        <f>VLOOKUP(A4,'最终 数据源'!$1:$1048576,4,FALSE)</f>
        <v>3.1126</v>
      </c>
      <c r="F4" s="8">
        <f>VLOOKUP(A4,'最终 数据源'!$1:$1048576,5,FALSE)</f>
        <v>1.6957E-2</v>
      </c>
      <c r="G4" s="34">
        <f>VLOOKUP(A4,'最终 数据源'!$1:$1048576,6,FALSE)</f>
        <v>-1.4345000000000002E-2</v>
      </c>
      <c r="H4" s="34">
        <f>VLOOKUP(A4,'最终 数据源'!$1:$1048576,7,FALSE)</f>
        <v>-0.16672899999999999</v>
      </c>
      <c r="I4" s="9" t="s">
        <v>14</v>
      </c>
      <c r="K4" s="23" t="e">
        <v>#NAME?</v>
      </c>
    </row>
    <row r="5" spans="1:11" ht="75" customHeight="1" x14ac:dyDescent="0.25">
      <c r="A5" s="39" t="s">
        <v>118</v>
      </c>
      <c r="B5" s="120" t="s">
        <v>105</v>
      </c>
      <c r="C5" s="5" t="s">
        <v>119</v>
      </c>
      <c r="D5" s="10">
        <v>44699</v>
      </c>
      <c r="E5" s="7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204</v>
      </c>
      <c r="I5" s="12" t="s">
        <v>120</v>
      </c>
      <c r="K5" s="24"/>
    </row>
    <row r="6" spans="1:11" s="21" customFormat="1" ht="75" hidden="1" customHeight="1" x14ac:dyDescent="0.25">
      <c r="A6" s="43" t="s">
        <v>102</v>
      </c>
      <c r="B6" s="122"/>
      <c r="C6" s="51" t="str">
        <f>国盛证券!C7</f>
        <v>平安短债
（005754）</v>
      </c>
      <c r="D6" s="52">
        <f>国盛证券!D7</f>
        <v>43236</v>
      </c>
      <c r="E6" s="7">
        <f>VLOOKUP(A6,'最终 数据源'!$A$2:$G$18,4,FALSE)</f>
        <v>1.1447000000000001</v>
      </c>
      <c r="F6" s="8">
        <f>VLOOKUP(A6,'最终 数据源'!$A$2:$G$18,5,FALSE)</f>
        <v>-1.7500000000000003E-4</v>
      </c>
      <c r="G6" s="34">
        <f>VLOOKUP(A6,'最终 数据源'!$A$2:$G$18,6,FALSE)</f>
        <v>-3.3950000000000004E-3</v>
      </c>
      <c r="H6" s="34">
        <f>VLOOKUP(A6,'最终 数据源'!$A$2:$G$18,7,FALSE)</f>
        <v>2.2601E-2</v>
      </c>
      <c r="I6" s="53" t="str">
        <f>国盛证券!I7</f>
        <v>欧阳亮</v>
      </c>
      <c r="K6" s="54"/>
    </row>
    <row r="7" spans="1:11" ht="75" hidden="1" customHeight="1" x14ac:dyDescent="0.25">
      <c r="A7" s="39" t="s">
        <v>95</v>
      </c>
      <c r="B7" s="22" t="s">
        <v>74</v>
      </c>
      <c r="C7" s="12" t="s">
        <v>15</v>
      </c>
      <c r="D7" s="10">
        <v>42033</v>
      </c>
      <c r="E7" s="7">
        <f>VLOOKUP(A7,'最终 数据源'!$A$2:$G$18,4,FALSE)</f>
        <v>2.722</v>
      </c>
      <c r="F7" s="8">
        <f>VLOOKUP(A7,'最终 数据源'!$A$2:$G$18,5,FALSE)</f>
        <v>9.2700000000000005E-3</v>
      </c>
      <c r="G7" s="34">
        <f>VLOOKUP(A7,'最终 数据源'!$A$2:$G$18,6,FALSE)</f>
        <v>1.6050999999999999E-2</v>
      </c>
      <c r="H7" s="34">
        <f>VLOOKUP(A7,'最终 数据源'!$A$2:$G$18,7,FALSE)</f>
        <v>-0.11738</v>
      </c>
      <c r="I7" s="12" t="s">
        <v>16</v>
      </c>
      <c r="K7" s="20" t="e">
        <v>#NAME?</v>
      </c>
    </row>
    <row r="8" spans="1:11" ht="45" customHeight="1" x14ac:dyDescent="0.25">
      <c r="B8" s="117" t="s">
        <v>24</v>
      </c>
      <c r="C8" s="118"/>
      <c r="D8" s="118"/>
      <c r="E8" s="118"/>
      <c r="F8" s="118"/>
      <c r="G8" s="118"/>
      <c r="H8" s="118"/>
      <c r="I8" s="119"/>
    </row>
    <row r="9" spans="1:11" ht="66" customHeight="1" x14ac:dyDescent="0.25">
      <c r="B9" s="14" t="s">
        <v>25</v>
      </c>
      <c r="C9" s="10" t="s">
        <v>26</v>
      </c>
      <c r="D9" s="105" t="s">
        <v>27</v>
      </c>
      <c r="E9" s="106"/>
      <c r="F9" s="112" t="s">
        <v>28</v>
      </c>
      <c r="G9" s="113"/>
      <c r="H9" s="112" t="s">
        <v>29</v>
      </c>
      <c r="I9" s="113"/>
    </row>
    <row r="10" spans="1:11" ht="66" customHeight="1" x14ac:dyDescent="0.25">
      <c r="B10" s="14" t="s">
        <v>30</v>
      </c>
      <c r="C10" s="10" t="s">
        <v>31</v>
      </c>
      <c r="D10" s="105" t="s">
        <v>32</v>
      </c>
      <c r="E10" s="106"/>
      <c r="F10" s="112" t="s">
        <v>33</v>
      </c>
      <c r="G10" s="113"/>
      <c r="H10" s="112" t="s">
        <v>32</v>
      </c>
      <c r="I10" s="113"/>
    </row>
    <row r="11" spans="1:11" ht="66" customHeight="1" x14ac:dyDescent="0.25">
      <c r="B11" s="14" t="s">
        <v>34</v>
      </c>
      <c r="C11" s="10" t="s">
        <v>35</v>
      </c>
      <c r="D11" s="101" t="s">
        <v>110</v>
      </c>
      <c r="E11" s="102"/>
      <c r="F11" s="103" t="s">
        <v>111</v>
      </c>
      <c r="G11" s="104"/>
      <c r="H11" s="101" t="s">
        <v>36</v>
      </c>
      <c r="I11" s="102"/>
    </row>
    <row r="12" spans="1:11" ht="66" customHeight="1" x14ac:dyDescent="0.25">
      <c r="B12" s="14" t="s">
        <v>37</v>
      </c>
    </row>
    <row r="13" spans="1:11" ht="160.94999999999999" customHeight="1" x14ac:dyDescent="0.25">
      <c r="B13" s="14" t="s">
        <v>38</v>
      </c>
      <c r="C13" s="42" t="s">
        <v>39</v>
      </c>
      <c r="D13" s="90" t="s">
        <v>40</v>
      </c>
      <c r="E13" s="91"/>
      <c r="F13" s="92" t="s">
        <v>41</v>
      </c>
      <c r="G13" s="93"/>
      <c r="H13" s="90" t="s">
        <v>42</v>
      </c>
      <c r="I13" s="91"/>
    </row>
    <row r="14" spans="1:11" ht="36" customHeight="1" x14ac:dyDescent="0.25">
      <c r="B14" s="95" t="s">
        <v>43</v>
      </c>
      <c r="C14" s="96"/>
      <c r="D14" s="96"/>
      <c r="E14" s="96"/>
      <c r="F14" s="96"/>
      <c r="G14" s="96"/>
      <c r="H14" s="96"/>
      <c r="I14" s="97"/>
    </row>
    <row r="15" spans="1:11" ht="43.95" customHeight="1" x14ac:dyDescent="0.25"/>
    <row r="16" spans="1:11" ht="43.95" customHeight="1" x14ac:dyDescent="0.25"/>
    <row r="17" spans="2:10" ht="43.95" customHeight="1" x14ac:dyDescent="0.25"/>
    <row r="20" spans="2:10" ht="41.25" customHeight="1" x14ac:dyDescent="0.25"/>
    <row r="21" spans="2:10" ht="41.25" customHeight="1" x14ac:dyDescent="0.25"/>
    <row r="25" spans="2:10" ht="41.25" customHeight="1" x14ac:dyDescent="0.25"/>
    <row r="27" spans="2:10" ht="70.2" customHeight="1" x14ac:dyDescent="0.25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2" customHeight="1" x14ac:dyDescent="0.25">
      <c r="B28" s="15"/>
      <c r="C28" s="16"/>
      <c r="D28" s="17"/>
      <c r="E28" s="17"/>
      <c r="F28" s="18"/>
      <c r="G28" s="18"/>
      <c r="H28" s="18"/>
      <c r="I28" s="18"/>
      <c r="J28" s="18"/>
    </row>
    <row r="29" spans="2:10" ht="70.2" customHeight="1" x14ac:dyDescent="0.25">
      <c r="J29" s="18"/>
    </row>
    <row r="30" spans="2:10" ht="70.2" customHeight="1" x14ac:dyDescent="0.25">
      <c r="J30" s="18"/>
    </row>
    <row r="31" spans="2:10" ht="70.2" customHeight="1" x14ac:dyDescent="0.25">
      <c r="J31" s="18"/>
    </row>
  </sheetData>
  <mergeCells count="16">
    <mergeCell ref="D10:E10"/>
    <mergeCell ref="F10:G10"/>
    <mergeCell ref="H10:I10"/>
    <mergeCell ref="B5:B6"/>
    <mergeCell ref="B1:I2"/>
    <mergeCell ref="B8:I8"/>
    <mergeCell ref="D9:E9"/>
    <mergeCell ref="F9:G9"/>
    <mergeCell ref="H9:I9"/>
    <mergeCell ref="D13:E13"/>
    <mergeCell ref="F13:G13"/>
    <mergeCell ref="H13:I13"/>
    <mergeCell ref="B14:I14"/>
    <mergeCell ref="D11:E11"/>
    <mergeCell ref="F11:G11"/>
    <mergeCell ref="H11:I11"/>
  </mergeCells>
  <phoneticPr fontId="21" type="noConversion"/>
  <conditionalFormatting sqref="F4:F7">
    <cfRule type="dataBar" priority="121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{E249E7F6-410D-4451-BC3E-9ADE48750714}</x14:id>
        </ext>
      </extLst>
    </cfRule>
    <cfRule type="dataBar" priority="121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{A222EDF8-F6E9-4143-8C3A-BAF43C2D37A9}</x14:id>
        </ext>
      </extLst>
    </cfRule>
    <cfRule type="dataBar" priority="121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{844EAA22-4D8A-426E-BC4E-A1507781485C}</x14:id>
        </ext>
      </extLst>
    </cfRule>
    <cfRule type="dataBar" priority="121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{B87DB268-999B-4181-81B9-4E55B7004CFB}</x14:id>
        </ext>
      </extLst>
    </cfRule>
    <cfRule type="dataBar" priority="121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{2B00ADD4-15A8-47AF-A413-D1BFA9E7F38B}</x14:id>
        </ext>
      </extLst>
    </cfRule>
    <cfRule type="dataBar" priority="121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{98545416-6C9E-47FF-94A3-DBCFF983D68C}</x14:id>
        </ext>
      </extLst>
    </cfRule>
  </conditionalFormatting>
  <conditionalFormatting sqref="G6:H7">
    <cfRule type="cellIs" dxfId="41" priority="476" operator="equal">
      <formula>0</formula>
    </cfRule>
    <cfRule type="cellIs" dxfId="40" priority="477" operator="lessThan">
      <formula>0</formula>
    </cfRule>
    <cfRule type="cellIs" dxfId="39" priority="478" operator="greaterThan">
      <formula>0</formula>
    </cfRule>
  </conditionalFormatting>
  <conditionalFormatting sqref="G4:K4 I5:K5 G5">
    <cfRule type="cellIs" dxfId="38" priority="1" operator="equal">
      <formula>0</formula>
    </cfRule>
    <cfRule type="cellIs" dxfId="37" priority="2" operator="lessThan">
      <formula>0</formula>
    </cfRule>
    <cfRule type="cellIs" dxfId="36" priority="3" operator="greaterThan">
      <formula>0</formula>
    </cfRule>
  </conditionalFormatting>
  <conditionalFormatting sqref="K7">
    <cfRule type="cellIs" dxfId="35" priority="465" operator="equal">
      <formula>0</formula>
    </cfRule>
    <cfRule type="cellIs" dxfId="34" priority="466" operator="lessThan">
      <formula>0</formula>
    </cfRule>
    <cfRule type="cellIs" dxfId="33" priority="467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49E7F6-410D-4451-BC3E-9ADE48750714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222EDF8-F6E9-4143-8C3A-BAF43C2D37A9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844EAA22-4D8A-426E-BC4E-A1507781485C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B87DB268-999B-4181-81B9-4E55B7004CFB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2B00ADD4-15A8-47AF-A413-D1BFA9E7F38B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98545416-6C9E-47FF-94A3-DBCFF983D6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K33"/>
  <sheetViews>
    <sheetView zoomScale="45" zoomScaleNormal="45" workbookViewId="0">
      <selection activeCell="H4" sqref="H4"/>
    </sheetView>
  </sheetViews>
  <sheetFormatPr defaultColWidth="9" defaultRowHeight="70.2" customHeight="1" x14ac:dyDescent="0.25"/>
  <cols>
    <col min="1" max="1" width="24.332031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6" customWidth="1"/>
    <col min="19" max="19" width="21.109375"/>
    <col min="20" max="20" width="12.77734375"/>
    <col min="21" max="22" width="11.6640625"/>
    <col min="23" max="23" width="13.109375"/>
    <col min="26" max="26" width="13.77734375"/>
  </cols>
  <sheetData>
    <row r="1" spans="1:11" ht="42" customHeight="1" x14ac:dyDescent="0.25">
      <c r="B1" s="84" t="str">
        <f ca="1">"优选基金&amp;售后跟踪"&amp;TEXT(TODAY(),"(yyyy-mm-dd)")</f>
        <v>优选基金&amp;售后跟踪(2022-12-10)</v>
      </c>
      <c r="C1" s="85"/>
      <c r="D1" s="85"/>
      <c r="E1" s="85"/>
      <c r="F1" s="85"/>
      <c r="G1" s="85"/>
      <c r="H1" s="85"/>
      <c r="I1" s="85"/>
      <c r="J1" s="18"/>
    </row>
    <row r="2" spans="1:11" ht="45" customHeight="1" x14ac:dyDescent="0.25">
      <c r="B2" s="87"/>
      <c r="C2" s="88"/>
      <c r="D2" s="88"/>
      <c r="E2" s="88"/>
      <c r="F2" s="88"/>
      <c r="G2" s="88"/>
      <c r="H2" s="88"/>
      <c r="I2" s="88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39" t="s">
        <v>118</v>
      </c>
      <c r="B4" s="114" t="s">
        <v>104</v>
      </c>
      <c r="C4" s="5" t="s">
        <v>119</v>
      </c>
      <c r="D4" s="10">
        <v>44699</v>
      </c>
      <c r="E4" s="7">
        <f>VLOOKUP(A4,'最终 数据源'!$1:$1048576,4,FALSE)</f>
        <v>1.0104</v>
      </c>
      <c r="F4" s="8">
        <f>VLOOKUP(A4,'最终 数据源'!$1:$1048576,5,FALSE)</f>
        <v>9.9000000000000008E-5</v>
      </c>
      <c r="G4" s="34">
        <f>VLOOKUP(A4,'最终 数据源'!$1:$1048576,6,FALSE)</f>
        <v>2.9700000000000001E-4</v>
      </c>
      <c r="H4" s="81" t="s">
        <v>204</v>
      </c>
      <c r="I4" s="12" t="s">
        <v>120</v>
      </c>
      <c r="K4" s="24"/>
    </row>
    <row r="5" spans="1:11" ht="66" hidden="1" customHeight="1" x14ac:dyDescent="0.25">
      <c r="A5" s="39" t="s">
        <v>94</v>
      </c>
      <c r="B5" s="115"/>
      <c r="C5" s="5" t="e">
        <f>国盛证券!#REF!</f>
        <v>#REF!</v>
      </c>
      <c r="D5" s="10" t="e">
        <f>国盛证券!#REF!</f>
        <v>#REF!</v>
      </c>
      <c r="E5" s="7">
        <f>VLOOKUP(A5,'最终 数据源'!$1:$1048576,4,FALSE)</f>
        <v>1.0718000000000001</v>
      </c>
      <c r="F5" s="8">
        <f>VLOOKUP(A5,'最终 数据源'!$1:$1048576,5,FALSE)</f>
        <v>-9.2999999999999997E-5</v>
      </c>
      <c r="G5" s="34">
        <f>VLOOKUP(A5,'最终 数据源'!$1:$1048576,6,FALSE)</f>
        <v>-5.5900000000000004E-4</v>
      </c>
      <c r="H5" s="34">
        <f>VLOOKUP(A5,'最终 数据源'!$A$2:$G$18,7,FALSE)</f>
        <v>1.4674E-2</v>
      </c>
      <c r="I5" s="12" t="e">
        <f>国盛证券!#REF!</f>
        <v>#REF!</v>
      </c>
      <c r="K5" s="24"/>
    </row>
    <row r="6" spans="1:11" s="21" customFormat="1" ht="66" hidden="1" customHeight="1" x14ac:dyDescent="0.25">
      <c r="A6" s="43" t="s">
        <v>93</v>
      </c>
      <c r="B6" s="116"/>
      <c r="C6" s="51" t="str">
        <f>国盛证券!C7</f>
        <v>平安短债
（005754）</v>
      </c>
      <c r="D6" s="52">
        <f>国盛证券!D7</f>
        <v>43236</v>
      </c>
      <c r="E6" s="7">
        <f>VLOOKUP(A6,'最终 数据源'!$1:$1048576,4,FALSE)</f>
        <v>1.1447000000000001</v>
      </c>
      <c r="F6" s="8">
        <f>VLOOKUP(A6,'最终 数据源'!$1:$1048576,5,FALSE)</f>
        <v>-1.7500000000000003E-4</v>
      </c>
      <c r="G6" s="34">
        <f>VLOOKUP(A6,'最终 数据源'!$1:$1048576,6,FALSE)</f>
        <v>-3.3950000000000004E-3</v>
      </c>
      <c r="H6" s="34">
        <f>VLOOKUP(A6,'最终 数据源'!$A$2:$G$18,7,FALSE)</f>
        <v>2.2601E-2</v>
      </c>
      <c r="I6" s="53" t="str">
        <f>国盛证券!I7</f>
        <v>欧阳亮</v>
      </c>
      <c r="K6" s="20"/>
    </row>
    <row r="7" spans="1:11" ht="66" hidden="1" customHeight="1" x14ac:dyDescent="0.25">
      <c r="A7" s="39" t="s">
        <v>70</v>
      </c>
      <c r="B7" s="69"/>
      <c r="C7" s="5" t="s">
        <v>50</v>
      </c>
      <c r="D7" s="6">
        <v>42572</v>
      </c>
      <c r="E7" s="7" t="e">
        <f>VLOOKUP(A7,'最终 数据源'!$1:$1048576,4,FALSE)</f>
        <v>#N/A</v>
      </c>
      <c r="F7" s="8" t="e">
        <f>VLOOKUP(A7,'最终 数据源'!$1:$1048576,5,FALSE)</f>
        <v>#N/A</v>
      </c>
      <c r="G7" s="34" t="e">
        <f>VLOOKUP(A7,'最终 数据源'!$1:$1048576,6,FALSE)</f>
        <v>#N/A</v>
      </c>
      <c r="H7" s="34" t="e">
        <f>VLOOKUP(A7,'最终 数据源'!$A$2:$G$18,7,FALSE)</f>
        <v>#N/A</v>
      </c>
      <c r="I7" s="12" t="s">
        <v>51</v>
      </c>
      <c r="J7" s="21"/>
      <c r="K7" s="20" t="e">
        <v>#NAME?</v>
      </c>
    </row>
    <row r="8" spans="1:11" ht="66" customHeight="1" x14ac:dyDescent="0.25">
      <c r="A8" s="39" t="s">
        <v>71</v>
      </c>
      <c r="B8" s="125" t="s">
        <v>52</v>
      </c>
      <c r="C8" s="12" t="s">
        <v>53</v>
      </c>
      <c r="D8" s="10">
        <v>44396</v>
      </c>
      <c r="E8" s="7">
        <f>VLOOKUP(A8,'最终 数据源'!$1:$1048576,4,FALSE)</f>
        <v>0.73150000000000004</v>
      </c>
      <c r="F8" s="8">
        <f>VLOOKUP(A8,'最终 数据源'!$1:$1048576,5,FALSE)</f>
        <v>2.6040000000000004E-3</v>
      </c>
      <c r="G8" s="34">
        <f>VLOOKUP(A8,'最终 数据源'!$1:$1048576,6,FALSE)</f>
        <v>-3.0227E-2</v>
      </c>
      <c r="H8" s="34">
        <f>VLOOKUP(A8,'最终 数据源'!$1:$1048576,7,FALSE)</f>
        <v>-0.23682800000000001</v>
      </c>
      <c r="I8" s="12" t="s">
        <v>54</v>
      </c>
      <c r="J8" s="21"/>
    </row>
    <row r="9" spans="1:11" ht="66" customHeight="1" x14ac:dyDescent="0.25">
      <c r="A9" s="39" t="s">
        <v>109</v>
      </c>
      <c r="B9" s="125"/>
      <c r="C9" s="12" t="s">
        <v>23</v>
      </c>
      <c r="D9" s="6">
        <v>44559</v>
      </c>
      <c r="E9" s="7">
        <f>VLOOKUP(A9,'最终 数据源'!$1:$1048576,4,FALSE)</f>
        <v>0.8962</v>
      </c>
      <c r="F9" s="8">
        <f>VLOOKUP(A9,'最终 数据源'!$1:$1048576,5,FALSE)</f>
        <v>1.5984999999999999E-2</v>
      </c>
      <c r="G9" s="34">
        <f>VLOOKUP(A9,'最终 数据源'!$1:$1048576,6,FALSE)</f>
        <v>-1.8186000000000001E-2</v>
      </c>
      <c r="H9" s="34">
        <f>VLOOKUP(A9,'最终 数据源'!$1:$1048576,7,FALSE)</f>
        <v>-0.10371000000000001</v>
      </c>
      <c r="I9" s="9" t="s">
        <v>14</v>
      </c>
    </row>
    <row r="10" spans="1:11" ht="45" customHeight="1" x14ac:dyDescent="0.25">
      <c r="B10" s="126" t="s">
        <v>24</v>
      </c>
      <c r="C10" s="127"/>
      <c r="D10" s="128"/>
      <c r="E10" s="128"/>
      <c r="F10" s="128"/>
      <c r="G10" s="128"/>
      <c r="H10" s="128"/>
      <c r="I10" s="128"/>
    </row>
    <row r="11" spans="1:11" ht="66" customHeight="1" x14ac:dyDescent="0.25">
      <c r="B11" s="14" t="s">
        <v>25</v>
      </c>
      <c r="C11" s="10" t="s">
        <v>26</v>
      </c>
      <c r="D11" s="105" t="s">
        <v>27</v>
      </c>
      <c r="E11" s="106"/>
      <c r="F11" s="112" t="s">
        <v>28</v>
      </c>
      <c r="G11" s="113"/>
      <c r="H11" s="112" t="s">
        <v>29</v>
      </c>
      <c r="I11" s="113"/>
    </row>
    <row r="12" spans="1:11" ht="66" customHeight="1" x14ac:dyDescent="0.25">
      <c r="B12" s="14" t="s">
        <v>30</v>
      </c>
      <c r="C12" s="10" t="s">
        <v>31</v>
      </c>
      <c r="D12" s="105" t="s">
        <v>32</v>
      </c>
      <c r="E12" s="106"/>
      <c r="F12" s="112" t="s">
        <v>33</v>
      </c>
      <c r="G12" s="113"/>
      <c r="H12" s="112" t="s">
        <v>32</v>
      </c>
      <c r="I12" s="113"/>
    </row>
    <row r="13" spans="1:11" ht="66" customHeight="1" x14ac:dyDescent="0.25">
      <c r="B13" s="14" t="s">
        <v>34</v>
      </c>
      <c r="C13" s="10" t="s">
        <v>35</v>
      </c>
      <c r="D13" s="101" t="s">
        <v>110</v>
      </c>
      <c r="E13" s="102"/>
      <c r="F13" s="103" t="s">
        <v>111</v>
      </c>
      <c r="G13" s="104"/>
      <c r="H13" s="101" t="s">
        <v>36</v>
      </c>
      <c r="I13" s="102"/>
    </row>
    <row r="14" spans="1:11" ht="66" customHeight="1" x14ac:dyDescent="0.25">
      <c r="B14" s="14" t="s">
        <v>37</v>
      </c>
    </row>
    <row r="15" spans="1:11" ht="160.94999999999999" customHeight="1" x14ac:dyDescent="0.25">
      <c r="B15" s="14" t="s">
        <v>38</v>
      </c>
      <c r="C15" s="42" t="s">
        <v>39</v>
      </c>
      <c r="D15" s="90" t="s">
        <v>40</v>
      </c>
      <c r="E15" s="91"/>
      <c r="F15" s="92" t="s">
        <v>41</v>
      </c>
      <c r="G15" s="93"/>
      <c r="H15" s="90" t="s">
        <v>42</v>
      </c>
      <c r="I15" s="91"/>
    </row>
    <row r="16" spans="1:11" ht="36" customHeight="1" x14ac:dyDescent="0.25">
      <c r="B16" s="95" t="s">
        <v>43</v>
      </c>
      <c r="C16" s="96"/>
      <c r="D16" s="96"/>
      <c r="E16" s="96"/>
      <c r="F16" s="96"/>
      <c r="G16" s="96"/>
      <c r="H16" s="96"/>
      <c r="I16" s="97"/>
    </row>
    <row r="17" spans="2:10" ht="43.95" customHeight="1" x14ac:dyDescent="0.25"/>
    <row r="18" spans="2:10" ht="43.95" customHeight="1" x14ac:dyDescent="0.25"/>
    <row r="19" spans="2:10" ht="43.95" customHeight="1" x14ac:dyDescent="0.25"/>
    <row r="22" spans="2:10" ht="41.25" customHeight="1" x14ac:dyDescent="0.25"/>
    <row r="23" spans="2:10" ht="41.25" customHeight="1" x14ac:dyDescent="0.25"/>
    <row r="27" spans="2:10" ht="41.25" customHeight="1" x14ac:dyDescent="0.25"/>
    <row r="29" spans="2:10" ht="70.2" customHeight="1" x14ac:dyDescent="0.25">
      <c r="B29" s="15"/>
      <c r="C29" s="16"/>
      <c r="D29" s="17"/>
      <c r="E29" s="17"/>
      <c r="F29" s="18"/>
      <c r="G29" s="18"/>
      <c r="H29" s="18"/>
      <c r="I29" s="18"/>
      <c r="J29" s="18"/>
    </row>
    <row r="30" spans="2:10" ht="70.2" customHeight="1" x14ac:dyDescent="0.25">
      <c r="B30" s="15"/>
      <c r="C30" s="16"/>
      <c r="D30" s="17"/>
      <c r="E30" s="17"/>
      <c r="F30" s="18"/>
      <c r="G30" s="18"/>
      <c r="H30" s="18"/>
      <c r="I30" s="18"/>
      <c r="J30" s="18"/>
    </row>
    <row r="31" spans="2:10" ht="70.2" customHeight="1" x14ac:dyDescent="0.25">
      <c r="J31" s="18"/>
    </row>
    <row r="32" spans="2:10" ht="70.2" customHeight="1" x14ac:dyDescent="0.25">
      <c r="J32" s="18"/>
    </row>
    <row r="33" spans="10:10" ht="70.2" customHeight="1" x14ac:dyDescent="0.25">
      <c r="J33" s="18"/>
    </row>
  </sheetData>
  <mergeCells count="17">
    <mergeCell ref="B1:I2"/>
    <mergeCell ref="D15:E15"/>
    <mergeCell ref="F15:G15"/>
    <mergeCell ref="H15:I15"/>
    <mergeCell ref="B16:I16"/>
    <mergeCell ref="B4:B6"/>
    <mergeCell ref="B8:B9"/>
    <mergeCell ref="D13:E13"/>
    <mergeCell ref="F13:G13"/>
    <mergeCell ref="H13:I13"/>
    <mergeCell ref="B10:I10"/>
    <mergeCell ref="D11:E11"/>
    <mergeCell ref="F11:G11"/>
    <mergeCell ref="H11:I11"/>
    <mergeCell ref="D12:E12"/>
    <mergeCell ref="F12:G12"/>
    <mergeCell ref="H12:I12"/>
  </mergeCells>
  <phoneticPr fontId="21" type="noConversion"/>
  <conditionalFormatting sqref="F4:F9">
    <cfRule type="dataBar" priority="117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{08370290-02BA-47EF-B13D-34DE3C50B032}</x14:id>
        </ext>
      </extLst>
    </cfRule>
    <cfRule type="dataBar" priority="117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{29C85C7C-7C8A-4073-B1EE-BE73642CFB3D}</x14:id>
        </ext>
      </extLst>
    </cfRule>
    <cfRule type="dataBar" priority="117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{21C2E8F1-213B-4AA5-8DA5-9783DB3911BB}</x14:id>
        </ext>
      </extLst>
    </cfRule>
    <cfRule type="dataBar" priority="117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{213D950C-4B5E-49A7-B212-D44CDC132964}</x14:id>
        </ext>
      </extLst>
    </cfRule>
    <cfRule type="dataBar" priority="118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{42449CBC-DEAB-4F5C-AA4E-5D90670D0AA8}</x14:id>
        </ext>
      </extLst>
    </cfRule>
    <cfRule type="dataBar" priority="118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{6572E0B3-E87B-42B7-A338-215DE531CA3C}</x14:id>
        </ext>
      </extLst>
    </cfRule>
  </conditionalFormatting>
  <conditionalFormatting sqref="G4:G9 G5:H9">
    <cfRule type="cellIs" dxfId="32" priority="1" operator="equal">
      <formula>0</formula>
    </cfRule>
    <cfRule type="cellIs" dxfId="31" priority="2" operator="lessThan">
      <formula>0</formula>
    </cfRule>
    <cfRule type="cellIs" dxfId="30" priority="3" operator="greaterThan">
      <formula>0</formula>
    </cfRule>
  </conditionalFormatting>
  <conditionalFormatting sqref="K4:K7">
    <cfRule type="cellIs" dxfId="29" priority="528" operator="equal">
      <formula>0</formula>
    </cfRule>
    <cfRule type="cellIs" dxfId="28" priority="529" operator="lessThan">
      <formula>0</formula>
    </cfRule>
    <cfRule type="cellIs" dxfId="27" priority="530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70290-02BA-47EF-B13D-34DE3C50B03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9C85C7C-7C8A-4073-B1EE-BE73642CFB3D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1C2E8F1-213B-4AA5-8DA5-9783DB3911BB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213D950C-4B5E-49A7-B212-D44CDC132964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42449CBC-DEAB-4F5C-AA4E-5D90670D0AA8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6572E0B3-E87B-42B7-A338-215DE531CA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FF00"/>
  </sheetPr>
  <dimension ref="A1:K37"/>
  <sheetViews>
    <sheetView zoomScale="55" zoomScaleNormal="55" workbookViewId="0">
      <selection activeCell="H5" sqref="H5"/>
    </sheetView>
  </sheetViews>
  <sheetFormatPr defaultColWidth="9" defaultRowHeight="70.2" customHeight="1" x14ac:dyDescent="0.25"/>
  <cols>
    <col min="1" max="1" width="24.332031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7.44140625" customWidth="1"/>
    <col min="13" max="14" width="21.109375"/>
    <col min="15" max="16" width="14.44140625"/>
    <col min="17" max="17" width="12.77734375"/>
    <col min="18" max="18" width="13.109375"/>
    <col min="21" max="21" width="13.77734375"/>
  </cols>
  <sheetData>
    <row r="1" spans="1:11" ht="66" customHeight="1" x14ac:dyDescent="0.25">
      <c r="B1" s="84" t="str">
        <f ca="1">"优选基金&amp;售后跟踪"&amp;TEXT(TODAY(),"(yyyy-mm-dd)")</f>
        <v>优选基金&amp;售后跟踪(2022-12-10)</v>
      </c>
      <c r="C1" s="85"/>
      <c r="D1" s="85"/>
      <c r="E1" s="85"/>
      <c r="F1" s="85"/>
      <c r="G1" s="85"/>
      <c r="H1" s="85"/>
      <c r="I1" s="85"/>
      <c r="J1" s="18"/>
    </row>
    <row r="2" spans="1:11" ht="19.2" customHeight="1" x14ac:dyDescent="0.25">
      <c r="B2" s="87"/>
      <c r="C2" s="88"/>
      <c r="D2" s="88"/>
      <c r="E2" s="88"/>
      <c r="F2" s="88"/>
      <c r="G2" s="88"/>
      <c r="H2" s="88"/>
      <c r="I2" s="88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40" t="s">
        <v>68</v>
      </c>
      <c r="B4" s="94" t="s">
        <v>124</v>
      </c>
      <c r="C4" s="5" t="s">
        <v>47</v>
      </c>
      <c r="D4" s="6">
        <v>42839</v>
      </c>
      <c r="E4" s="7">
        <f>VLOOKUP(A4,'最终 数据源'!$1:$1048576,4,FALSE)</f>
        <v>3.1126</v>
      </c>
      <c r="F4" s="8">
        <f>VLOOKUP(A4,'最终 数据源'!$1:$1048576,5,FALSE)</f>
        <v>1.6957E-2</v>
      </c>
      <c r="G4" s="34">
        <f>VLOOKUP(A4,'最终 数据源'!$1:$1048576,6,FALSE)</f>
        <v>-1.4345000000000002E-2</v>
      </c>
      <c r="H4" s="34">
        <f>VLOOKUP(A4,'最终 数据源'!$1:$1048576,7,FALSE)</f>
        <v>-0.16672899999999999</v>
      </c>
      <c r="I4" s="9" t="s">
        <v>14</v>
      </c>
      <c r="K4" s="30" t="e">
        <v>#NAME?</v>
      </c>
    </row>
    <row r="5" spans="1:11" ht="66" customHeight="1" x14ac:dyDescent="0.25">
      <c r="A5" s="40" t="s">
        <v>118</v>
      </c>
      <c r="B5" s="94"/>
      <c r="C5" s="5" t="s">
        <v>119</v>
      </c>
      <c r="D5" s="10">
        <v>44699</v>
      </c>
      <c r="E5" s="7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204</v>
      </c>
      <c r="I5" s="12" t="s">
        <v>120</v>
      </c>
      <c r="K5" s="30"/>
    </row>
    <row r="6" spans="1:11" ht="66" customHeight="1" x14ac:dyDescent="0.25">
      <c r="A6" s="40" t="s">
        <v>112</v>
      </c>
      <c r="B6" s="3" t="s">
        <v>9</v>
      </c>
      <c r="C6" s="5" t="s">
        <v>113</v>
      </c>
      <c r="D6" s="6">
        <v>43810</v>
      </c>
      <c r="E6" s="7">
        <f>VLOOKUP(A6,'最终 数据源'!$1:$1048576,4,FALSE)</f>
        <v>1.1266</v>
      </c>
      <c r="F6" s="8">
        <f>VLOOKUP(A6,'最终 数据源'!$1:$1048576,5,FALSE)</f>
        <v>-2.6599999999999996E-4</v>
      </c>
      <c r="G6" s="34">
        <f>VLOOKUP(A6,'最终 数据源'!$1:$1048576,6,FALSE)</f>
        <v>-8.6239999999999997E-3</v>
      </c>
      <c r="H6" s="34">
        <f>VLOOKUP(A6,'最终 数据源'!$1:$1048576,7,FALSE)</f>
        <v>2.1951999999999999E-2</v>
      </c>
      <c r="I6" s="9" t="s">
        <v>114</v>
      </c>
      <c r="K6" s="30" t="e">
        <v>#NAME?</v>
      </c>
    </row>
    <row r="7" spans="1:11" ht="66" hidden="1" customHeight="1" x14ac:dyDescent="0.25">
      <c r="A7" s="40" t="s">
        <v>94</v>
      </c>
      <c r="B7" s="58" t="s">
        <v>108</v>
      </c>
      <c r="C7" s="5" t="e">
        <f>国盛证券!#REF!</f>
        <v>#REF!</v>
      </c>
      <c r="D7" s="10" t="e">
        <f>国盛证券!#REF!</f>
        <v>#REF!</v>
      </c>
      <c r="E7" s="7">
        <f>VLOOKUP(A7,'最终 数据源'!$1:$1048576,4,FALSE)</f>
        <v>1.0718000000000001</v>
      </c>
      <c r="F7" s="8">
        <f>VLOOKUP(A7,'最终 数据源'!$1:$1048576,5,FALSE)</f>
        <v>-9.2999999999999997E-5</v>
      </c>
      <c r="G7" s="34">
        <f>VLOOKUP(A7,'最终 数据源'!$1:$1048576,6,FALSE)</f>
        <v>-5.5900000000000004E-4</v>
      </c>
      <c r="H7" s="34">
        <f>VLOOKUP(A7,'最终 数据源'!$1:$1048576,7,FALSE)</f>
        <v>1.4674E-2</v>
      </c>
      <c r="I7" s="12" t="e">
        <f>国盛证券!#REF!</f>
        <v>#REF!</v>
      </c>
      <c r="K7" s="30" t="e">
        <v>#NAME?</v>
      </c>
    </row>
    <row r="8" spans="1:11" s="21" customFormat="1" ht="66" hidden="1" customHeight="1" x14ac:dyDescent="0.25">
      <c r="A8" s="55" t="s">
        <v>93</v>
      </c>
      <c r="B8" s="59"/>
      <c r="C8" s="51" t="str">
        <f>国盛证券!C7</f>
        <v>平安短债
（005754）</v>
      </c>
      <c r="D8" s="52">
        <f>国盛证券!D7</f>
        <v>43236</v>
      </c>
      <c r="E8" s="7">
        <f>VLOOKUP(A8,'最终 数据源'!$1:$1048576,4,FALSE)</f>
        <v>1.1447000000000001</v>
      </c>
      <c r="F8" s="8">
        <f>VLOOKUP(A8,'最终 数据源'!$1:$1048576,5,FALSE)</f>
        <v>-1.7500000000000003E-4</v>
      </c>
      <c r="G8" s="34">
        <f>VLOOKUP(A8,'最终 数据源'!$1:$1048576,6,FALSE)</f>
        <v>-3.3950000000000004E-3</v>
      </c>
      <c r="H8" s="34">
        <f>VLOOKUP(A8,'最终 数据源'!$1:$1048576,7,FALSE)</f>
        <v>2.2601E-2</v>
      </c>
      <c r="I8" s="53" t="str">
        <f>国盛证券!I7</f>
        <v>欧阳亮</v>
      </c>
      <c r="K8" s="20"/>
    </row>
    <row r="9" spans="1:11" ht="66" hidden="1" customHeight="1" x14ac:dyDescent="0.25">
      <c r="A9" s="40" t="s">
        <v>95</v>
      </c>
      <c r="B9" s="98" t="s">
        <v>73</v>
      </c>
      <c r="C9" s="12" t="s">
        <v>15</v>
      </c>
      <c r="D9" s="6">
        <v>42839</v>
      </c>
      <c r="E9" s="7">
        <f>VLOOKUP(A9,'最终 数据源'!$1:$1048576,4,FALSE)</f>
        <v>2.722</v>
      </c>
      <c r="F9" s="8">
        <f>VLOOKUP(A9,'最终 数据源'!$1:$1048576,5,FALSE)</f>
        <v>9.2700000000000005E-3</v>
      </c>
      <c r="G9" s="34">
        <f>VLOOKUP(A9,'最终 数据源'!$1:$1048576,6,FALSE)</f>
        <v>1.6050999999999999E-2</v>
      </c>
      <c r="H9" s="34">
        <f>VLOOKUP(A9,'最终 数据源'!$1:$1048576,7,FALSE)</f>
        <v>-0.11738</v>
      </c>
      <c r="I9" s="9" t="s">
        <v>16</v>
      </c>
      <c r="K9" s="30">
        <f>广发证券!K9</f>
        <v>0.28352300000000003</v>
      </c>
    </row>
    <row r="10" spans="1:11" ht="66" hidden="1" customHeight="1" x14ac:dyDescent="0.25">
      <c r="A10" s="40" t="s">
        <v>69</v>
      </c>
      <c r="B10" s="99"/>
      <c r="C10" s="5" t="s">
        <v>48</v>
      </c>
      <c r="D10" s="6">
        <v>42482</v>
      </c>
      <c r="E10" s="7" t="e">
        <f>VLOOKUP(A10,'最终 数据源'!$1:$1048576,4,FALSE)</f>
        <v>#N/A</v>
      </c>
      <c r="F10" s="8" t="e">
        <f>VLOOKUP(A10,'最终 数据源'!$1:$1048576,5,FALSE)</f>
        <v>#N/A</v>
      </c>
      <c r="G10" s="34" t="e">
        <f>VLOOKUP(A10,'最终 数据源'!$1:$1048576,6,FALSE)</f>
        <v>#N/A</v>
      </c>
      <c r="H10" s="34" t="e">
        <f>VLOOKUP(A10,'最终 数据源'!$1:$1048576,7,FALSE)</f>
        <v>#N/A</v>
      </c>
      <c r="I10" s="9" t="s">
        <v>49</v>
      </c>
      <c r="J10" s="21"/>
      <c r="K10" s="30">
        <v>0.12341199999999999</v>
      </c>
    </row>
    <row r="11" spans="1:11" ht="66" customHeight="1" x14ac:dyDescent="0.25">
      <c r="A11" s="40" t="s">
        <v>92</v>
      </c>
      <c r="B11" s="129" t="s">
        <v>17</v>
      </c>
      <c r="C11" s="12" t="s">
        <v>18</v>
      </c>
      <c r="D11" s="6">
        <v>44029</v>
      </c>
      <c r="E11" s="7">
        <f>VLOOKUP(A11,'最终 数据源'!$1:$1048576,4,FALSE)</f>
        <v>0.89070000000000005</v>
      </c>
      <c r="F11" s="8">
        <f>VLOOKUP(A11,'最终 数据源'!$1:$1048576,5,FALSE)</f>
        <v>1.2964999999999999E-2</v>
      </c>
      <c r="G11" s="34">
        <f>VLOOKUP(A11,'最终 数据源'!$1:$1048576,6,FALSE)</f>
        <v>7.6374999999999998E-2</v>
      </c>
      <c r="H11" s="34">
        <f>VLOOKUP(A11,'最终 数据源'!$1:$1048576,7,FALSE)</f>
        <v>-0.24465699999999999</v>
      </c>
      <c r="I11" s="9" t="s">
        <v>19</v>
      </c>
    </row>
    <row r="12" spans="1:11" ht="66" customHeight="1" x14ac:dyDescent="0.25">
      <c r="A12" s="40" t="s">
        <v>96</v>
      </c>
      <c r="B12" s="130"/>
      <c r="C12" s="12" t="s">
        <v>20</v>
      </c>
      <c r="D12" s="6">
        <v>44053</v>
      </c>
      <c r="E12" s="7">
        <f>VLOOKUP(A12,'最终 数据源'!$1:$1048576,4,FALSE)</f>
        <v>0.97340000000000004</v>
      </c>
      <c r="F12" s="8">
        <f>VLOOKUP(A12,'最终 数据源'!$1:$1048576,5,FALSE)</f>
        <v>2.3553999999999999E-2</v>
      </c>
      <c r="G12" s="34">
        <f>VLOOKUP(A12,'最终 数据源'!$1:$1048576,6,FALSE)</f>
        <v>9.346199999999999E-2</v>
      </c>
      <c r="H12" s="34">
        <f>VLOOKUP(A12,'最终 数据源'!$1:$1048576,7,FALSE)</f>
        <v>-0.16143999999999997</v>
      </c>
      <c r="I12" s="9" t="s">
        <v>21</v>
      </c>
    </row>
    <row r="13" spans="1:11" ht="66" customHeight="1" x14ac:dyDescent="0.25">
      <c r="A13" s="40" t="s">
        <v>97</v>
      </c>
      <c r="B13" s="130"/>
      <c r="C13" s="12" t="s">
        <v>22</v>
      </c>
      <c r="D13" s="6">
        <v>44098</v>
      </c>
      <c r="E13" s="7">
        <f>VLOOKUP(A13,'最终 数据源'!$1:$1048576,4,FALSE)</f>
        <v>0.9123</v>
      </c>
      <c r="F13" s="8">
        <f>VLOOKUP(A13,'最终 数据源'!$1:$1048576,5,FALSE)</f>
        <v>2.0697999999999998E-2</v>
      </c>
      <c r="G13" s="34">
        <f>VLOOKUP(A13,'最终 数据源'!$1:$1048576,6,FALSE)</f>
        <v>-5.2253999999999995E-2</v>
      </c>
      <c r="H13" s="34">
        <f>VLOOKUP(A13,'最终 数据源'!$1:$1048576,7,FALSE)</f>
        <v>-0.23949600000000001</v>
      </c>
      <c r="I13" s="9" t="s">
        <v>10</v>
      </c>
    </row>
    <row r="14" spans="1:11" ht="66" customHeight="1" x14ac:dyDescent="0.25">
      <c r="A14" s="39" t="s">
        <v>109</v>
      </c>
      <c r="B14" s="130"/>
      <c r="C14" s="12" t="s">
        <v>23</v>
      </c>
      <c r="D14" s="6">
        <v>44559</v>
      </c>
      <c r="E14" s="7">
        <f>VLOOKUP(A14,'最终 数据源'!$1:$1048576,4,FALSE)</f>
        <v>0.8962</v>
      </c>
      <c r="F14" s="8">
        <f>VLOOKUP(A14,'最终 数据源'!$1:$1048576,5,FALSE)</f>
        <v>1.5984999999999999E-2</v>
      </c>
      <c r="G14" s="34">
        <f>VLOOKUP(A14,'最终 数据源'!$1:$1048576,6,FALSE)</f>
        <v>-1.8186000000000001E-2</v>
      </c>
      <c r="H14" s="34">
        <f>VLOOKUP(A14,'最终 数据源'!$1:$1048576,7,FALSE)</f>
        <v>-0.10371000000000001</v>
      </c>
      <c r="I14" s="9" t="s">
        <v>14</v>
      </c>
    </row>
    <row r="15" spans="1:11" ht="66" customHeight="1" x14ac:dyDescent="0.25">
      <c r="A15" s="39" t="s">
        <v>207</v>
      </c>
      <c r="B15" s="131"/>
      <c r="C15" s="12" t="s">
        <v>208</v>
      </c>
      <c r="D15" s="6">
        <v>44413</v>
      </c>
      <c r="E15" s="7">
        <f>VLOOKUP(A15,'最终 数据源'!$1:$1048576,4,FALSE)</f>
        <v>0.74690000000000001</v>
      </c>
      <c r="F15" s="8">
        <f>VLOOKUP(A15,'最终 数据源'!$1:$1048576,5,FALSE)</f>
        <v>-3.336E-3</v>
      </c>
      <c r="G15" s="34">
        <f>VLOOKUP(A15,'最终 数据源'!$1:$1048576,6,FALSE)</f>
        <v>-9.8490999999999995E-2</v>
      </c>
      <c r="H15" s="34">
        <f>VLOOKUP(A15,'最终 数据源'!$1:$1048576,7,FALSE)</f>
        <v>-0.26129999999999998</v>
      </c>
      <c r="I15" s="9" t="s">
        <v>10</v>
      </c>
    </row>
    <row r="16" spans="1:11" ht="45" customHeight="1" x14ac:dyDescent="0.25">
      <c r="B16" s="117" t="s">
        <v>24</v>
      </c>
      <c r="C16" s="118"/>
      <c r="D16" s="118"/>
      <c r="E16" s="118"/>
      <c r="F16" s="118"/>
      <c r="G16" s="118"/>
      <c r="H16" s="118"/>
      <c r="I16" s="119"/>
    </row>
    <row r="17" spans="2:9" ht="66" customHeight="1" x14ac:dyDescent="0.25">
      <c r="B17" s="14" t="s">
        <v>25</v>
      </c>
      <c r="C17" s="10" t="s">
        <v>26</v>
      </c>
      <c r="D17" s="105" t="s">
        <v>27</v>
      </c>
      <c r="E17" s="106"/>
      <c r="F17" s="112" t="s">
        <v>28</v>
      </c>
      <c r="G17" s="113"/>
      <c r="H17" s="112" t="s">
        <v>29</v>
      </c>
      <c r="I17" s="113"/>
    </row>
    <row r="18" spans="2:9" ht="66" customHeight="1" x14ac:dyDescent="0.25">
      <c r="B18" s="14" t="s">
        <v>30</v>
      </c>
      <c r="C18" s="10" t="s">
        <v>31</v>
      </c>
      <c r="D18" s="105" t="s">
        <v>32</v>
      </c>
      <c r="E18" s="106"/>
      <c r="F18" s="112" t="s">
        <v>33</v>
      </c>
      <c r="G18" s="113"/>
      <c r="H18" s="112" t="s">
        <v>32</v>
      </c>
      <c r="I18" s="113"/>
    </row>
    <row r="19" spans="2:9" ht="66" customHeight="1" x14ac:dyDescent="0.25">
      <c r="B19" s="14" t="s">
        <v>34</v>
      </c>
      <c r="C19" s="10" t="s">
        <v>35</v>
      </c>
      <c r="D19" s="101" t="s">
        <v>110</v>
      </c>
      <c r="E19" s="102"/>
      <c r="F19" s="103" t="s">
        <v>111</v>
      </c>
      <c r="G19" s="104"/>
      <c r="H19" s="101" t="s">
        <v>36</v>
      </c>
      <c r="I19" s="102"/>
    </row>
    <row r="20" spans="2:9" ht="66" customHeight="1" x14ac:dyDescent="0.25">
      <c r="B20" s="14" t="s">
        <v>37</v>
      </c>
    </row>
    <row r="21" spans="2:9" ht="160.94999999999999" customHeight="1" x14ac:dyDescent="0.25">
      <c r="B21" s="14" t="s">
        <v>38</v>
      </c>
      <c r="C21" s="42" t="s">
        <v>39</v>
      </c>
      <c r="D21" s="90" t="s">
        <v>40</v>
      </c>
      <c r="E21" s="91"/>
      <c r="F21" s="92" t="s">
        <v>41</v>
      </c>
      <c r="G21" s="93"/>
      <c r="H21" s="90" t="s">
        <v>42</v>
      </c>
      <c r="I21" s="91"/>
    </row>
    <row r="22" spans="2:9" ht="36" customHeight="1" x14ac:dyDescent="0.25">
      <c r="B22" s="95" t="s">
        <v>43</v>
      </c>
      <c r="C22" s="96"/>
      <c r="D22" s="96"/>
      <c r="E22" s="96"/>
      <c r="F22" s="96"/>
      <c r="G22" s="96"/>
      <c r="H22" s="96"/>
      <c r="I22" s="97"/>
    </row>
    <row r="23" spans="2:9" ht="13.8" x14ac:dyDescent="0.25"/>
    <row r="24" spans="2:9" ht="13.8" x14ac:dyDescent="0.25"/>
    <row r="26" spans="2:9" ht="41.25" customHeight="1" x14ac:dyDescent="0.25"/>
    <row r="27" spans="2:9" ht="41.25" customHeight="1" x14ac:dyDescent="0.25"/>
    <row r="31" spans="2:9" ht="41.25" customHeight="1" x14ac:dyDescent="0.25"/>
    <row r="33" spans="2:10" ht="70.2" customHeight="1" x14ac:dyDescent="0.25">
      <c r="B33" s="15"/>
      <c r="C33" s="16"/>
      <c r="D33" s="17"/>
      <c r="E33" s="17"/>
      <c r="F33" s="18"/>
      <c r="G33" s="18"/>
      <c r="H33" s="18"/>
      <c r="I33" s="18"/>
      <c r="J33" s="18"/>
    </row>
    <row r="34" spans="2:10" ht="70.2" customHeight="1" x14ac:dyDescent="0.25">
      <c r="B34" s="15"/>
      <c r="C34" s="16"/>
      <c r="D34" s="17"/>
      <c r="E34" s="17"/>
      <c r="F34" s="18"/>
      <c r="G34" s="18"/>
      <c r="H34" s="18"/>
      <c r="I34" s="18"/>
      <c r="J34" s="18"/>
    </row>
    <row r="35" spans="2:10" ht="70.2" customHeight="1" x14ac:dyDescent="0.25">
      <c r="B35" s="15"/>
      <c r="C35" s="16"/>
      <c r="D35" s="17"/>
      <c r="E35" s="17"/>
      <c r="F35" s="18"/>
      <c r="G35" s="18"/>
      <c r="H35" s="18"/>
      <c r="I35" s="18"/>
      <c r="J35" s="18"/>
    </row>
    <row r="36" spans="2:10" ht="70.2" customHeight="1" x14ac:dyDescent="0.25">
      <c r="J36" s="18"/>
    </row>
    <row r="37" spans="2:10" ht="70.2" customHeight="1" x14ac:dyDescent="0.25">
      <c r="J37" s="18"/>
    </row>
  </sheetData>
  <mergeCells count="18">
    <mergeCell ref="B22:I22"/>
    <mergeCell ref="B9:B10"/>
    <mergeCell ref="D19:E19"/>
    <mergeCell ref="F19:G19"/>
    <mergeCell ref="H19:I19"/>
    <mergeCell ref="B16:I16"/>
    <mergeCell ref="D17:E17"/>
    <mergeCell ref="F17:G17"/>
    <mergeCell ref="H17:I17"/>
    <mergeCell ref="D18:E18"/>
    <mergeCell ref="F18:G18"/>
    <mergeCell ref="B11:B15"/>
    <mergeCell ref="B1:I2"/>
    <mergeCell ref="D21:E21"/>
    <mergeCell ref="F21:G21"/>
    <mergeCell ref="H21:I21"/>
    <mergeCell ref="H18:I18"/>
    <mergeCell ref="B4:B5"/>
  </mergeCells>
  <phoneticPr fontId="21" type="noConversion"/>
  <conditionalFormatting sqref="F4:F15">
    <cfRule type="dataBar" priority="44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{44BD5FE0-0CBD-42D6-B0CB-6D58691BD993}</x14:id>
        </ext>
      </extLst>
    </cfRule>
    <cfRule type="dataBar" priority="44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{C184CEED-B7D7-4041-A237-4817B403F409}</x14:id>
        </ext>
      </extLst>
    </cfRule>
    <cfRule type="dataBar" priority="44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{58EEA257-95FA-455B-BBA5-196AE793E49A}</x14:id>
        </ext>
      </extLst>
    </cfRule>
    <cfRule type="dataBar" priority="44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{AD67DCD5-B2B9-4D13-8889-F4077458A030}</x14:id>
        </ext>
      </extLst>
    </cfRule>
    <cfRule type="dataBar" priority="44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{F2D0A1CB-F4A9-4C37-993D-798600D3576D}</x14:id>
        </ext>
      </extLst>
    </cfRule>
    <cfRule type="dataBar" priority="44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{5AF4D4C2-E49A-4990-9745-90A359AF6569}</x14:id>
        </ext>
      </extLst>
    </cfRule>
  </conditionalFormatting>
  <conditionalFormatting sqref="G4:H4 G5:G15 H6:H15">
    <cfRule type="cellIs" dxfId="26" priority="1" operator="equal">
      <formula>0</formula>
    </cfRule>
    <cfRule type="cellIs" dxfId="25" priority="2" operator="lessThan">
      <formula>0</formula>
    </cfRule>
    <cfRule type="cellIs" dxfId="24" priority="3" operator="greaterThan">
      <formula>0</formula>
    </cfRule>
  </conditionalFormatting>
  <conditionalFormatting sqref="K4:K10">
    <cfRule type="cellIs" dxfId="23" priority="523" operator="equal">
      <formula>0</formula>
    </cfRule>
    <cfRule type="cellIs" dxfId="22" priority="524" operator="lessThan">
      <formula>0</formula>
    </cfRule>
    <cfRule type="cellIs" dxfId="21" priority="525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BD5FE0-0CBD-42D6-B0CB-6D58691BD99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184CEED-B7D7-4041-A237-4817B403F409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58EEA257-95FA-455B-BBA5-196AE793E49A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AD67DCD5-B2B9-4D13-8889-F4077458A030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F2D0A1CB-F4A9-4C37-993D-798600D3576D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5AF4D4C2-E49A-4990-9745-90A359AF65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F4:F15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O32"/>
  <sheetViews>
    <sheetView tabSelected="1" zoomScale="55" zoomScaleNormal="55" workbookViewId="0">
      <selection activeCell="L9" sqref="L9"/>
    </sheetView>
  </sheetViews>
  <sheetFormatPr defaultColWidth="9" defaultRowHeight="70.2" customHeight="1" x14ac:dyDescent="0.25"/>
  <cols>
    <col min="1" max="1" width="3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8.77734375" customWidth="1"/>
    <col min="12" max="13" width="36.88671875" customWidth="1"/>
  </cols>
  <sheetData>
    <row r="1" spans="1:15" ht="64.95" customHeight="1" x14ac:dyDescent="0.25">
      <c r="B1" s="84" t="str">
        <f ca="1">"优选基金&amp;售后跟踪"&amp;TEXT(TODAY(),"(yyyy-mm-dd)")</f>
        <v>优选基金&amp;售后跟踪(2022-12-10)</v>
      </c>
      <c r="C1" s="132"/>
      <c r="D1" s="132"/>
      <c r="E1" s="132"/>
      <c r="F1" s="132"/>
      <c r="G1" s="132"/>
      <c r="H1" s="132"/>
      <c r="I1" s="132"/>
      <c r="J1" s="18"/>
    </row>
    <row r="2" spans="1:15" ht="30" customHeight="1" x14ac:dyDescent="0.25">
      <c r="B2" s="133"/>
      <c r="C2" s="134"/>
      <c r="D2" s="134"/>
      <c r="E2" s="134"/>
      <c r="F2" s="134"/>
      <c r="G2" s="134"/>
      <c r="H2" s="134"/>
      <c r="I2" s="134"/>
      <c r="J2" s="18"/>
    </row>
    <row r="3" spans="1:15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5" ht="66" customHeight="1" x14ac:dyDescent="0.5">
      <c r="A4" s="39" t="s">
        <v>118</v>
      </c>
      <c r="B4" s="120" t="s">
        <v>103</v>
      </c>
      <c r="C4" s="5" t="s">
        <v>119</v>
      </c>
      <c r="D4" s="10">
        <v>44699</v>
      </c>
      <c r="E4" s="31">
        <f>VLOOKUP(A4,'最终 数据源'!$1:$1048576,4,FALSE)</f>
        <v>1.0104</v>
      </c>
      <c r="F4" s="8">
        <f>VLOOKUP(A4,'最终 数据源'!$1:$1048576,5,FALSE)</f>
        <v>9.9000000000000008E-5</v>
      </c>
      <c r="G4" s="29">
        <f>VLOOKUP(A4,'最终 数据源'!$1:$1048576,6,FALSE)</f>
        <v>2.9700000000000001E-4</v>
      </c>
      <c r="H4" s="81" t="s">
        <v>204</v>
      </c>
      <c r="I4" s="12" t="s">
        <v>120</v>
      </c>
      <c r="K4" s="32"/>
      <c r="L4" s="66" t="s">
        <v>214</v>
      </c>
      <c r="M4" s="66"/>
    </row>
    <row r="5" spans="1:15" ht="66" hidden="1" customHeight="1" x14ac:dyDescent="0.25">
      <c r="A5" s="39" t="s">
        <v>90</v>
      </c>
      <c r="B5" s="121"/>
      <c r="C5" s="5" t="e">
        <f>国盛证券!#REF!</f>
        <v>#REF!</v>
      </c>
      <c r="D5" s="10" t="e">
        <f>国盛证券!#REF!</f>
        <v>#REF!</v>
      </c>
      <c r="E5" s="31">
        <f>VLOOKUP(A5,'最终 数据源'!$1:$1048576,4,FALSE)</f>
        <v>1.0718000000000001</v>
      </c>
      <c r="F5" s="8">
        <f>VLOOKUP(A5,'最终 数据源'!$1:$1048576,5,FALSE)</f>
        <v>-9.2999999999999997E-5</v>
      </c>
      <c r="G5" s="29">
        <f>VLOOKUP(A5,'最终 数据源'!$1:$1048576,6,FALSE)</f>
        <v>-5.5900000000000004E-4</v>
      </c>
      <c r="H5" s="29">
        <f>VLOOKUP(A5,'最终 数据源'!$A$2:$G$18,7,FALSE)</f>
        <v>1.4674E-2</v>
      </c>
      <c r="I5" s="12" t="e">
        <f>国盛证券!#REF!</f>
        <v>#REF!</v>
      </c>
      <c r="K5" s="32"/>
    </row>
    <row r="6" spans="1:15" s="21" customFormat="1" ht="66" hidden="1" customHeight="1" x14ac:dyDescent="0.25">
      <c r="A6" s="43" t="s">
        <v>91</v>
      </c>
      <c r="B6" s="122"/>
      <c r="C6" s="51" t="str">
        <f>国盛证券!C7</f>
        <v>平安短债
（005754）</v>
      </c>
      <c r="D6" s="52">
        <f>国盛证券!D7</f>
        <v>43236</v>
      </c>
      <c r="E6" s="31">
        <f>VLOOKUP(A6,'最终 数据源'!$1:$1048576,4,FALSE)</f>
        <v>1.1447000000000001</v>
      </c>
      <c r="F6" s="8">
        <f>VLOOKUP(A6,'最终 数据源'!$1:$1048576,5,FALSE)</f>
        <v>-1.7500000000000003E-4</v>
      </c>
      <c r="G6" s="29">
        <f>VLOOKUP(A6,'最终 数据源'!$1:$1048576,6,FALSE)</f>
        <v>-3.3950000000000004E-3</v>
      </c>
      <c r="H6" s="29">
        <f>VLOOKUP(A6,'最终 数据源'!$A$2:$G$18,7,FALSE)</f>
        <v>2.2601E-2</v>
      </c>
      <c r="I6" s="53" t="str">
        <f>国盛证券!I7</f>
        <v>欧阳亮</v>
      </c>
      <c r="K6" s="30"/>
    </row>
    <row r="7" spans="1:15" ht="66" customHeight="1" x14ac:dyDescent="0.5">
      <c r="A7" s="39" t="s">
        <v>211</v>
      </c>
      <c r="B7" s="135" t="s">
        <v>17</v>
      </c>
      <c r="C7" s="5" t="s">
        <v>213</v>
      </c>
      <c r="D7" s="6">
        <v>44888</v>
      </c>
      <c r="E7" s="83" t="s">
        <v>215</v>
      </c>
      <c r="F7" s="8">
        <f>VLOOKUP(A7,'最终 数据源'!$1:$1048576,5,FALSE)</f>
        <v>1.7718000000000001E-2</v>
      </c>
      <c r="G7" s="29">
        <f>VLOOKUP(A7,'最终 数据源'!$1:$1048576,6,FALSE)</f>
        <v>1.67E-2</v>
      </c>
      <c r="H7" s="29">
        <f>VLOOKUP(A7,'最终 数据源'!$1:$1048576,7,FALSE)</f>
        <v>1.67E-2</v>
      </c>
      <c r="I7" s="12" t="s">
        <v>21</v>
      </c>
      <c r="J7" s="21"/>
      <c r="L7" s="64" t="str">
        <f>FIXED(VLOOKUP(A7,'最终 数据源'!$1:$1048576,4,FALSE),4)</f>
        <v>1.0167</v>
      </c>
      <c r="M7" s="64" t="str">
        <f>TEXT(VLOOKUP(A7,数据源!$1:$1048576,3,0),"yyyy/mm/dd")</f>
        <v>2022/12/09</v>
      </c>
      <c r="N7" s="64" t="str">
        <f>CHAR(10)</f>
        <v xml:space="preserve">
</v>
      </c>
      <c r="O7" s="64"/>
    </row>
    <row r="8" spans="1:15" ht="66" customHeight="1" x14ac:dyDescent="0.25">
      <c r="A8" s="39" t="s">
        <v>67</v>
      </c>
      <c r="B8" s="136"/>
      <c r="C8" s="12" t="s">
        <v>46</v>
      </c>
      <c r="D8" s="6">
        <v>43943</v>
      </c>
      <c r="E8" s="31">
        <f>VLOOKUP(A8,'最终 数据源'!$1:$1048576,4,FALSE)</f>
        <v>1.2809999999999999</v>
      </c>
      <c r="F8" s="8">
        <f>VLOOKUP(A8,'最终 数据源'!$1:$1048576,5,FALSE)</f>
        <v>2.1857000000000001E-2</v>
      </c>
      <c r="G8" s="29">
        <f>VLOOKUP(A8,'最终 数据源'!$1:$1048576,6,FALSE)</f>
        <v>-4.8502999999999998E-2</v>
      </c>
      <c r="H8" s="29">
        <f>VLOOKUP(A8,'最终 数据源'!$1:$1048576,7,FALSE)</f>
        <v>-0.21329000000000001</v>
      </c>
      <c r="I8" s="9" t="s">
        <v>10</v>
      </c>
      <c r="J8" s="21"/>
    </row>
    <row r="9" spans="1:15" ht="66" customHeight="1" x14ac:dyDescent="0.25">
      <c r="A9" s="41" t="s">
        <v>92</v>
      </c>
      <c r="B9" s="136"/>
      <c r="C9" s="12" t="s">
        <v>18</v>
      </c>
      <c r="D9" s="6">
        <v>44029</v>
      </c>
      <c r="E9" s="31">
        <f>VLOOKUP(A9,'最终 数据源'!$1:$1048576,4,FALSE)</f>
        <v>0.89070000000000005</v>
      </c>
      <c r="F9" s="8">
        <f>VLOOKUP(A9,'最终 数据源'!$1:$1048576,5,FALSE)</f>
        <v>1.2964999999999999E-2</v>
      </c>
      <c r="G9" s="29">
        <f>VLOOKUP(A9,'最终 数据源'!$1:$1048576,6,FALSE)</f>
        <v>7.6374999999999998E-2</v>
      </c>
      <c r="H9" s="29">
        <f>VLOOKUP(A9,'最终 数据源'!$1:$1048576,7,FALSE)</f>
        <v>-0.24465699999999999</v>
      </c>
      <c r="I9" s="9" t="s">
        <v>19</v>
      </c>
    </row>
    <row r="10" spans="1:15" ht="66" customHeight="1" x14ac:dyDescent="0.25">
      <c r="A10" s="39" t="s">
        <v>109</v>
      </c>
      <c r="B10" s="137"/>
      <c r="C10" s="12" t="s">
        <v>23</v>
      </c>
      <c r="D10" s="6">
        <v>44559</v>
      </c>
      <c r="E10" s="31">
        <f>VLOOKUP(A10,'最终 数据源'!$1:$1048576,4,FALSE)</f>
        <v>0.8962</v>
      </c>
      <c r="F10" s="8">
        <f>VLOOKUP(A10,'最终 数据源'!$1:$1048576,5,FALSE)</f>
        <v>1.5984999999999999E-2</v>
      </c>
      <c r="G10" s="29">
        <f>VLOOKUP(A10,'最终 数据源'!$1:$1048576,6,FALSE)</f>
        <v>-1.8186000000000001E-2</v>
      </c>
      <c r="H10" s="29">
        <f>VLOOKUP(A10,'最终 数据源'!$1:$1048576,7,FALSE)</f>
        <v>-0.10371000000000001</v>
      </c>
      <c r="I10" s="9" t="s">
        <v>14</v>
      </c>
    </row>
    <row r="11" spans="1:15" ht="45" customHeight="1" x14ac:dyDescent="0.25">
      <c r="B11" s="126" t="s">
        <v>24</v>
      </c>
      <c r="C11" s="127"/>
      <c r="D11" s="128"/>
      <c r="E11" s="128"/>
      <c r="F11" s="128"/>
      <c r="G11" s="128"/>
      <c r="H11" s="128"/>
      <c r="I11" s="128"/>
    </row>
    <row r="12" spans="1:15" ht="66" customHeight="1" x14ac:dyDescent="0.25">
      <c r="B12" s="14" t="s">
        <v>25</v>
      </c>
      <c r="C12" s="10" t="s">
        <v>26</v>
      </c>
      <c r="D12" s="105" t="s">
        <v>27</v>
      </c>
      <c r="E12" s="106"/>
      <c r="F12" s="112" t="s">
        <v>28</v>
      </c>
      <c r="G12" s="113"/>
      <c r="H12" s="112" t="s">
        <v>29</v>
      </c>
      <c r="I12" s="113"/>
    </row>
    <row r="13" spans="1:15" ht="66" customHeight="1" x14ac:dyDescent="0.25">
      <c r="B13" s="14" t="s">
        <v>30</v>
      </c>
      <c r="C13" s="10" t="s">
        <v>31</v>
      </c>
      <c r="D13" s="105" t="s">
        <v>32</v>
      </c>
      <c r="E13" s="106"/>
      <c r="F13" s="112" t="s">
        <v>33</v>
      </c>
      <c r="G13" s="113"/>
      <c r="H13" s="112" t="s">
        <v>32</v>
      </c>
      <c r="I13" s="113"/>
    </row>
    <row r="14" spans="1:15" ht="66" customHeight="1" x14ac:dyDescent="0.25">
      <c r="B14" s="14" t="s">
        <v>34</v>
      </c>
      <c r="C14" s="10" t="s">
        <v>35</v>
      </c>
      <c r="D14" s="101" t="s">
        <v>110</v>
      </c>
      <c r="E14" s="102"/>
      <c r="F14" s="103" t="s">
        <v>111</v>
      </c>
      <c r="G14" s="104"/>
      <c r="H14" s="101" t="s">
        <v>36</v>
      </c>
      <c r="I14" s="102"/>
    </row>
    <row r="15" spans="1:15" ht="66" customHeight="1" x14ac:dyDescent="0.25">
      <c r="B15" s="14" t="s">
        <v>37</v>
      </c>
    </row>
    <row r="16" spans="1:15" ht="160.94999999999999" customHeight="1" x14ac:dyDescent="0.25">
      <c r="B16" s="14" t="s">
        <v>38</v>
      </c>
      <c r="C16" s="42" t="s">
        <v>39</v>
      </c>
      <c r="D16" s="90" t="s">
        <v>40</v>
      </c>
      <c r="E16" s="91"/>
      <c r="F16" s="92" t="s">
        <v>41</v>
      </c>
      <c r="G16" s="93"/>
      <c r="H16" s="90" t="s">
        <v>42</v>
      </c>
      <c r="I16" s="91"/>
    </row>
    <row r="17" spans="2:10" ht="34.950000000000003" customHeight="1" x14ac:dyDescent="0.25">
      <c r="B17" s="95" t="s">
        <v>43</v>
      </c>
      <c r="C17" s="96"/>
      <c r="D17" s="96"/>
      <c r="E17" s="96"/>
      <c r="F17" s="96"/>
      <c r="G17" s="96"/>
      <c r="H17" s="96"/>
      <c r="I17" s="97"/>
      <c r="J17" s="18"/>
    </row>
    <row r="19" spans="2:10" ht="41.25" customHeight="1" x14ac:dyDescent="0.25"/>
    <row r="20" spans="2:10" ht="41.25" customHeight="1" x14ac:dyDescent="0.25"/>
    <row r="21" spans="2:10" ht="41.25" customHeight="1" x14ac:dyDescent="0.25"/>
    <row r="22" spans="2:10" ht="41.25" customHeight="1" x14ac:dyDescent="0.25"/>
    <row r="26" spans="2:10" ht="41.25" customHeight="1" x14ac:dyDescent="0.25"/>
    <row r="31" spans="2:10" ht="70.2" customHeight="1" x14ac:dyDescent="0.25">
      <c r="B31" s="15"/>
      <c r="C31" s="16"/>
      <c r="D31" s="17"/>
      <c r="E31" s="17"/>
      <c r="F31" s="18"/>
      <c r="G31" s="18"/>
      <c r="H31" s="18"/>
      <c r="I31" s="18"/>
      <c r="J31" s="18"/>
    </row>
    <row r="32" spans="2:10" ht="70.2" customHeight="1" x14ac:dyDescent="0.25">
      <c r="B32" s="15"/>
      <c r="C32" s="16"/>
      <c r="D32" s="17"/>
      <c r="E32" s="17"/>
      <c r="F32" s="18"/>
      <c r="G32" s="18"/>
      <c r="H32" s="18"/>
      <c r="I32" s="18"/>
      <c r="J32" s="18"/>
    </row>
  </sheetData>
  <mergeCells count="17">
    <mergeCell ref="B17:I17"/>
    <mergeCell ref="D14:E14"/>
    <mergeCell ref="F14:G14"/>
    <mergeCell ref="H14:I14"/>
    <mergeCell ref="B1:I2"/>
    <mergeCell ref="B4:B6"/>
    <mergeCell ref="D16:E16"/>
    <mergeCell ref="F16:G16"/>
    <mergeCell ref="H16:I16"/>
    <mergeCell ref="B7:B10"/>
    <mergeCell ref="B11:I11"/>
    <mergeCell ref="D12:E12"/>
    <mergeCell ref="F12:G12"/>
    <mergeCell ref="H12:I12"/>
    <mergeCell ref="D13:E13"/>
    <mergeCell ref="F13:G13"/>
    <mergeCell ref="H13:I13"/>
  </mergeCells>
  <phoneticPr fontId="21" type="noConversion"/>
  <conditionalFormatting sqref="K4:K6 G4:G10 H5:H10">
    <cfRule type="cellIs" dxfId="20" priority="1" operator="equal">
      <formula>0</formula>
    </cfRule>
    <cfRule type="cellIs" dxfId="19" priority="2" operator="lessThan">
      <formula>0</formula>
    </cfRule>
    <cfRule type="cellIs" dxfId="18" priority="3" operator="greaterThan">
      <formula>0</formula>
    </cfRule>
  </conditionalFormatting>
  <conditionalFormatting sqref="F4:F10">
    <cfRule type="dataBar" priority="124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{DD04C064-2A60-471F-A5DD-B460940079B2}</x14:id>
        </ext>
      </extLst>
    </cfRule>
    <cfRule type="dataBar" priority="124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{E1F95313-38C7-4716-8F62-3DA5342053A3}</x14:id>
        </ext>
      </extLst>
    </cfRule>
    <cfRule type="dataBar" priority="124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{A9598AD3-F782-4D60-978B-DFF3632184D4}</x14:id>
        </ext>
      </extLst>
    </cfRule>
    <cfRule type="dataBar" priority="124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{ED3D5AB2-4F81-44D2-A983-7AB5041A3A42}</x14:id>
        </ext>
      </extLst>
    </cfRule>
    <cfRule type="dataBar" priority="124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{8E51E0E7-D34B-4583-9377-28DA94D90B0D}</x14:id>
        </ext>
      </extLst>
    </cfRule>
    <cfRule type="dataBar" priority="125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{14B1D398-C29A-49AF-81E8-2BCEA81C286F}</x14:id>
        </ext>
      </extLst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04C064-2A60-471F-A5DD-B460940079B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E1F95313-38C7-4716-8F62-3DA5342053A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9598AD3-F782-4D60-978B-DFF3632184D4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ED3D5AB2-4F81-44D2-A983-7AB5041A3A42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8E51E0E7-D34B-4583-9377-28DA94D90B0D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14B1D398-C29A-49AF-81E8-2BCEA81C286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</sheetPr>
  <dimension ref="A1:R31"/>
  <sheetViews>
    <sheetView zoomScale="50" zoomScaleNormal="50" workbookViewId="0">
      <selection activeCell="H6" sqref="H6"/>
    </sheetView>
  </sheetViews>
  <sheetFormatPr defaultColWidth="9" defaultRowHeight="70.2" customHeight="1" x14ac:dyDescent="0.25"/>
  <cols>
    <col min="1" max="1" width="24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7.109375" customWidth="1"/>
  </cols>
  <sheetData>
    <row r="1" spans="1:18" ht="42" customHeight="1" x14ac:dyDescent="0.25">
      <c r="B1" s="84" t="str">
        <f ca="1">"优选基金&amp;售后跟踪"&amp;TEXT(TODAY(),"(yyyy-mm-dd)")</f>
        <v>优选基金&amp;售后跟踪(2022-12-10)</v>
      </c>
      <c r="C1" s="85"/>
      <c r="D1" s="85"/>
      <c r="E1" s="85"/>
      <c r="F1" s="85"/>
      <c r="G1" s="85"/>
      <c r="H1" s="85"/>
      <c r="I1" s="85"/>
      <c r="J1" s="18"/>
    </row>
    <row r="2" spans="1:18" ht="45" customHeight="1" x14ac:dyDescent="0.25">
      <c r="B2" s="87"/>
      <c r="C2" s="88"/>
      <c r="D2" s="88"/>
      <c r="E2" s="88"/>
      <c r="F2" s="88"/>
      <c r="G2" s="88"/>
      <c r="H2" s="88"/>
      <c r="I2" s="88"/>
      <c r="J2" s="18"/>
    </row>
    <row r="3" spans="1:18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8" ht="60.45" customHeight="1" x14ac:dyDescent="0.25">
      <c r="A4" s="39" t="s">
        <v>99</v>
      </c>
      <c r="B4" s="3" t="s">
        <v>9</v>
      </c>
      <c r="C4" s="5" t="s">
        <v>47</v>
      </c>
      <c r="D4" s="6">
        <v>42839</v>
      </c>
      <c r="E4" s="31">
        <f>VLOOKUP(A4,'最终 数据源'!$1:$1048576,4,FALSE)</f>
        <v>3.1126</v>
      </c>
      <c r="F4" s="8">
        <f>VLOOKUP(A4,'最终 数据源'!$1:$1048576,5,FALSE)</f>
        <v>1.6957E-2</v>
      </c>
      <c r="G4" s="29">
        <f>VLOOKUP(A4,'最终 数据源'!$1:$1048576,6,FALSE)</f>
        <v>-1.4345000000000002E-2</v>
      </c>
      <c r="H4" s="29">
        <f>VLOOKUP(A4,'最终 数据源'!$1:$1048576,7,FALSE)</f>
        <v>-0.16672899999999999</v>
      </c>
      <c r="I4" s="9" t="s">
        <v>14</v>
      </c>
      <c r="K4" s="23" t="e">
        <v>#NAME?</v>
      </c>
    </row>
    <row r="5" spans="1:18" ht="66" hidden="1" customHeight="1" x14ac:dyDescent="0.25">
      <c r="A5" s="39" t="s">
        <v>95</v>
      </c>
      <c r="B5" s="25" t="s">
        <v>106</v>
      </c>
      <c r="C5" s="12" t="s">
        <v>15</v>
      </c>
      <c r="D5" s="10">
        <v>42033</v>
      </c>
      <c r="E5" s="31">
        <f>VLOOKUP(A5,'最终 数据源'!$1:$1048576,4,FALSE)</f>
        <v>2.722</v>
      </c>
      <c r="F5" s="8">
        <f>VLOOKUP(A5,'最终 数据源'!$1:$1048576,5,FALSE)</f>
        <v>9.2700000000000005E-3</v>
      </c>
      <c r="G5" s="29">
        <f>VLOOKUP(A5,'最终 数据源'!$1:$1048576,6,FALSE)</f>
        <v>1.6050999999999999E-2</v>
      </c>
      <c r="H5" s="29">
        <f>VLOOKUP(A5,'最终 数据源'!$A$2:$G$18,7,FALSE)</f>
        <v>-0.11738</v>
      </c>
      <c r="I5" s="12" t="s">
        <v>16</v>
      </c>
      <c r="K5" s="20" t="e">
        <v>#NAME?</v>
      </c>
    </row>
    <row r="6" spans="1:18" ht="66" customHeight="1" x14ac:dyDescent="0.25">
      <c r="A6" s="39" t="s">
        <v>118</v>
      </c>
      <c r="B6" s="98" t="s">
        <v>104</v>
      </c>
      <c r="C6" s="26" t="s">
        <v>119</v>
      </c>
      <c r="D6" s="27">
        <v>44699</v>
      </c>
      <c r="E6" s="31">
        <f>VLOOKUP(A6,'最终 数据源'!$1:$1048576,4,FALSE)</f>
        <v>1.0104</v>
      </c>
      <c r="F6" s="8">
        <f>VLOOKUP(A6,'最终 数据源'!$1:$1048576,5,FALSE)</f>
        <v>9.9000000000000008E-5</v>
      </c>
      <c r="G6" s="29">
        <f>VLOOKUP(A6,'最终 数据源'!$1:$1048576,6,FALSE)</f>
        <v>2.9700000000000001E-4</v>
      </c>
      <c r="H6" s="81" t="s">
        <v>204</v>
      </c>
      <c r="I6" s="28" t="s">
        <v>120</v>
      </c>
      <c r="J6" s="21"/>
      <c r="R6" s="13"/>
    </row>
    <row r="7" spans="1:18" s="21" customFormat="1" ht="66" hidden="1" customHeight="1" x14ac:dyDescent="0.25">
      <c r="A7" s="43" t="s">
        <v>60</v>
      </c>
      <c r="B7" s="99"/>
      <c r="C7" s="44" t="s">
        <v>55</v>
      </c>
      <c r="D7" s="45">
        <v>43236</v>
      </c>
      <c r="E7" s="46" t="e">
        <v>#NAME?</v>
      </c>
      <c r="F7" s="47" t="e">
        <v>#NAME?</v>
      </c>
      <c r="G7" s="48" t="e">
        <v>#NAME?</v>
      </c>
      <c r="H7" s="48" t="e">
        <v>#NAME?</v>
      </c>
      <c r="I7" s="49" t="s">
        <v>56</v>
      </c>
      <c r="R7" s="50"/>
    </row>
    <row r="8" spans="1:18" ht="45" customHeight="1" x14ac:dyDescent="0.25">
      <c r="B8" s="117" t="s">
        <v>24</v>
      </c>
      <c r="C8" s="118"/>
      <c r="D8" s="118"/>
      <c r="E8" s="118"/>
      <c r="F8" s="118"/>
      <c r="G8" s="118"/>
      <c r="H8" s="118"/>
      <c r="I8" s="119"/>
    </row>
    <row r="9" spans="1:18" ht="66" customHeight="1" x14ac:dyDescent="0.25">
      <c r="B9" s="14" t="s">
        <v>25</v>
      </c>
      <c r="C9" s="10" t="s">
        <v>26</v>
      </c>
      <c r="D9" s="105" t="s">
        <v>27</v>
      </c>
      <c r="E9" s="106"/>
      <c r="F9" s="112" t="s">
        <v>28</v>
      </c>
      <c r="G9" s="113"/>
      <c r="H9" s="112" t="s">
        <v>29</v>
      </c>
      <c r="I9" s="113"/>
    </row>
    <row r="10" spans="1:18" ht="66" customHeight="1" x14ac:dyDescent="0.25">
      <c r="B10" s="14" t="s">
        <v>30</v>
      </c>
      <c r="C10" s="10" t="s">
        <v>31</v>
      </c>
      <c r="D10" s="105" t="s">
        <v>32</v>
      </c>
      <c r="E10" s="106"/>
      <c r="F10" s="112" t="s">
        <v>33</v>
      </c>
      <c r="G10" s="113"/>
      <c r="H10" s="112" t="s">
        <v>32</v>
      </c>
      <c r="I10" s="113"/>
    </row>
    <row r="11" spans="1:18" ht="66" customHeight="1" x14ac:dyDescent="0.25">
      <c r="B11" s="14" t="s">
        <v>34</v>
      </c>
      <c r="C11" s="10" t="s">
        <v>35</v>
      </c>
      <c r="D11" s="101" t="s">
        <v>110</v>
      </c>
      <c r="E11" s="102"/>
      <c r="F11" s="103" t="s">
        <v>111</v>
      </c>
      <c r="G11" s="104"/>
      <c r="H11" s="101" t="s">
        <v>36</v>
      </c>
      <c r="I11" s="102"/>
    </row>
    <row r="12" spans="1:18" ht="66" customHeight="1" x14ac:dyDescent="0.25">
      <c r="B12" s="14" t="s">
        <v>37</v>
      </c>
    </row>
    <row r="13" spans="1:18" ht="160.94999999999999" customHeight="1" x14ac:dyDescent="0.25">
      <c r="B13" s="14" t="s">
        <v>38</v>
      </c>
      <c r="C13" s="42" t="s">
        <v>39</v>
      </c>
      <c r="D13" s="90" t="s">
        <v>40</v>
      </c>
      <c r="E13" s="91"/>
      <c r="F13" s="92" t="s">
        <v>41</v>
      </c>
      <c r="G13" s="93"/>
      <c r="H13" s="90" t="s">
        <v>42</v>
      </c>
      <c r="I13" s="91"/>
    </row>
    <row r="14" spans="1:18" ht="36" customHeight="1" x14ac:dyDescent="0.25">
      <c r="B14" s="95" t="s">
        <v>43</v>
      </c>
      <c r="C14" s="96"/>
      <c r="D14" s="96"/>
      <c r="E14" s="96"/>
      <c r="F14" s="96"/>
      <c r="G14" s="96"/>
      <c r="H14" s="96"/>
      <c r="I14" s="97"/>
    </row>
    <row r="15" spans="1:18" ht="43.95" customHeight="1" x14ac:dyDescent="0.25"/>
    <row r="16" spans="1:18" ht="43.95" customHeight="1" x14ac:dyDescent="0.25"/>
    <row r="17" spans="2:10" ht="43.95" customHeight="1" x14ac:dyDescent="0.25"/>
    <row r="20" spans="2:10" ht="41.25" customHeight="1" x14ac:dyDescent="0.25"/>
    <row r="21" spans="2:10" ht="41.25" customHeight="1" x14ac:dyDescent="0.25"/>
    <row r="25" spans="2:10" ht="41.25" customHeight="1" x14ac:dyDescent="0.25">
      <c r="B25" s="15"/>
      <c r="C25" s="16"/>
      <c r="D25" s="17"/>
      <c r="E25" s="17"/>
      <c r="F25" s="18"/>
      <c r="G25" s="18"/>
      <c r="H25" s="18"/>
      <c r="I25" s="18"/>
      <c r="J25" s="18"/>
    </row>
    <row r="26" spans="2:10" ht="70.2" customHeight="1" x14ac:dyDescent="0.25">
      <c r="B26" s="15"/>
      <c r="C26" s="16"/>
      <c r="D26" s="17"/>
      <c r="E26" s="17"/>
      <c r="F26" s="18"/>
      <c r="G26" s="18"/>
      <c r="H26" s="18"/>
      <c r="I26" s="18"/>
    </row>
    <row r="27" spans="2:10" ht="70.2" customHeight="1" x14ac:dyDescent="0.25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2" customHeight="1" x14ac:dyDescent="0.25">
      <c r="B28" s="15"/>
      <c r="C28" s="16"/>
      <c r="D28" s="17"/>
      <c r="E28" s="17"/>
      <c r="F28" s="18"/>
      <c r="G28" s="18"/>
      <c r="H28" s="18"/>
      <c r="I28" s="18"/>
      <c r="J28" s="18"/>
    </row>
    <row r="29" spans="2:10" ht="70.2" customHeight="1" x14ac:dyDescent="0.25">
      <c r="J29" s="18"/>
    </row>
    <row r="30" spans="2:10" ht="70.2" customHeight="1" x14ac:dyDescent="0.25">
      <c r="J30" s="18"/>
    </row>
    <row r="31" spans="2:10" ht="70.2" customHeight="1" x14ac:dyDescent="0.25">
      <c r="J31" s="18"/>
    </row>
  </sheetData>
  <mergeCells count="16">
    <mergeCell ref="D10:E10"/>
    <mergeCell ref="F10:G10"/>
    <mergeCell ref="H10:I10"/>
    <mergeCell ref="B6:B7"/>
    <mergeCell ref="B1:I2"/>
    <mergeCell ref="B8:I8"/>
    <mergeCell ref="D9:E9"/>
    <mergeCell ref="F9:G9"/>
    <mergeCell ref="H9:I9"/>
    <mergeCell ref="D13:E13"/>
    <mergeCell ref="F13:G13"/>
    <mergeCell ref="H13:I13"/>
    <mergeCell ref="B14:I14"/>
    <mergeCell ref="D11:E11"/>
    <mergeCell ref="F11:G11"/>
    <mergeCell ref="H11:I11"/>
  </mergeCells>
  <phoneticPr fontId="21" type="noConversion"/>
  <conditionalFormatting sqref="F4:F6">
    <cfRule type="dataBar" priority="122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{1E3E6DC1-460F-4656-9E3A-7F4410D5BA56}</x14:id>
        </ext>
      </extLst>
    </cfRule>
    <cfRule type="dataBar" priority="122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{5AAA2862-2626-4E42-B73F-9C370EB91212}</x14:id>
        </ext>
      </extLst>
    </cfRule>
    <cfRule type="dataBar" priority="122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{AFD08AE8-87FA-4DE0-9CDA-188A45894D9E}</x14:id>
        </ext>
      </extLst>
    </cfRule>
    <cfRule type="dataBar" priority="122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{1CC9D925-EA60-4106-8B6A-0857671E2606}</x14:id>
        </ext>
      </extLst>
    </cfRule>
    <cfRule type="dataBar" priority="122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{9B62F3A4-F46D-4D25-8C22-7803058FC646}</x14:id>
        </ext>
      </extLst>
    </cfRule>
    <cfRule type="dataBar" priority="122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{A296894B-07E6-46EA-A90F-894880E2A165}</x14:id>
        </ext>
      </extLst>
    </cfRule>
  </conditionalFormatting>
  <conditionalFormatting sqref="F7">
    <cfRule type="dataBar" priority="110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{380D4FC2-05D3-49D9-90D7-609F71EA275E}</x14:id>
        </ext>
      </extLst>
    </cfRule>
    <cfRule type="dataBar" priority="110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{87FB2B86-6812-4DD0-8E99-FA5335B6C10B}</x14:id>
        </ext>
      </extLst>
    </cfRule>
    <cfRule type="dataBar" priority="111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{C6E60878-E098-4E3A-A58C-13400C246342}</x14:id>
        </ext>
      </extLst>
    </cfRule>
    <cfRule type="dataBar" priority="111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{0D51CECD-2970-416D-8E58-CD931CF19878}</x14:id>
        </ext>
      </extLst>
    </cfRule>
    <cfRule type="dataBar" priority="11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{96833C64-FB3C-4BA3-9465-6A0D604A29A3}</x14:id>
        </ext>
      </extLst>
    </cfRule>
    <cfRule type="dataBar" priority="11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{D61B9437-3721-4C0C-8A5B-FDF30580BCD2}</x14:id>
        </ext>
      </extLst>
    </cfRule>
  </conditionalFormatting>
  <conditionalFormatting sqref="G7:H7">
    <cfRule type="cellIs" dxfId="17" priority="1" operator="equal">
      <formula>0</formula>
    </cfRule>
    <cfRule type="cellIs" dxfId="16" priority="2" operator="lessThan">
      <formula>0</formula>
    </cfRule>
    <cfRule type="cellIs" dxfId="15" priority="3" operator="greaterThan">
      <formula>0</formula>
    </cfRule>
  </conditionalFormatting>
  <conditionalFormatting sqref="G4:K4 H5:K5 G5:G6">
    <cfRule type="cellIs" dxfId="14" priority="445" operator="equal">
      <formula>0</formula>
    </cfRule>
    <cfRule type="cellIs" dxfId="13" priority="446" operator="lessThan">
      <formula>0</formula>
    </cfRule>
    <cfRule type="cellIs" dxfId="12" priority="447" operator="greaterThan">
      <formula>0</formula>
    </cfRule>
  </conditionalFormatting>
  <conditionalFormatting sqref="R6:R7">
    <cfRule type="dataBar" priority="12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{F2CB1579-5280-4D52-9660-C13356115C44}</x14:id>
        </ext>
      </extLst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3E6DC1-460F-4656-9E3A-7F4410D5BA56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5AAA2862-2626-4E42-B73F-9C370EB9121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FD08AE8-87FA-4DE0-9CDA-188A45894D9E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1CC9D925-EA60-4106-8B6A-0857671E2606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9B62F3A4-F46D-4D25-8C22-7803058FC646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A296894B-07E6-46EA-A90F-894880E2A1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F4:F6</xm:sqref>
        </x14:conditionalFormatting>
        <x14:conditionalFormatting xmlns:xm="http://schemas.microsoft.com/office/excel/2006/main">
          <x14:cfRule type="dataBar" id="{380D4FC2-05D3-49D9-90D7-609F71EA275E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87FB2B86-6812-4DD0-8E99-FA5335B6C10B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6E60878-E098-4E3A-A58C-13400C246342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0D51CECD-2970-416D-8E58-CD931CF19878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96833C64-FB3C-4BA3-9465-6A0D604A29A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D61B9437-3721-4C0C-8A5B-FDF30580BC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F2CB1579-5280-4D52-9660-C13356115C44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m:sqref>R6:R7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K29"/>
  <sheetViews>
    <sheetView zoomScale="55" zoomScaleNormal="55" workbookViewId="0">
      <selection activeCell="H4" sqref="H4"/>
    </sheetView>
  </sheetViews>
  <sheetFormatPr defaultColWidth="9" defaultRowHeight="70.2" customHeight="1" x14ac:dyDescent="0.25"/>
  <cols>
    <col min="1" max="1" width="24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20.6640625" customWidth="1"/>
    <col min="13" max="13" width="21.109375"/>
    <col min="14" max="14" width="12.77734375"/>
    <col min="15" max="16" width="11.6640625"/>
    <col min="17" max="17" width="13.109375"/>
    <col min="20" max="20" width="13.77734375"/>
  </cols>
  <sheetData>
    <row r="1" spans="1:11" ht="42" customHeight="1" x14ac:dyDescent="0.25">
      <c r="B1" s="84" t="str">
        <f ca="1">"优选基金&amp;售后跟踪"&amp;TEXT(TODAY(),"(yyyy-mm-dd)")</f>
        <v>优选基金&amp;售后跟踪(2022-12-10)</v>
      </c>
      <c r="C1" s="85"/>
      <c r="D1" s="85"/>
      <c r="E1" s="85"/>
      <c r="F1" s="85"/>
      <c r="G1" s="85"/>
      <c r="H1" s="85"/>
      <c r="I1" s="85"/>
      <c r="J1" s="18"/>
    </row>
    <row r="2" spans="1:11" ht="45" customHeight="1" x14ac:dyDescent="0.25">
      <c r="B2" s="87"/>
      <c r="C2" s="88"/>
      <c r="D2" s="88"/>
      <c r="E2" s="88"/>
      <c r="F2" s="88"/>
      <c r="G2" s="88"/>
      <c r="H2" s="88"/>
      <c r="I2" s="88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39" t="s">
        <v>118</v>
      </c>
      <c r="B4" s="120" t="s">
        <v>104</v>
      </c>
      <c r="C4" s="5" t="s">
        <v>119</v>
      </c>
      <c r="D4" s="10">
        <v>44699</v>
      </c>
      <c r="E4" s="31">
        <f>VLOOKUP(A4,'最终 数据源'!$1:$1048576,4,FALSE)</f>
        <v>1.0104</v>
      </c>
      <c r="F4" s="8">
        <f>VLOOKUP(A4,'最终 数据源'!$1:$1048576,5,FALSE)</f>
        <v>9.9000000000000008E-5</v>
      </c>
      <c r="G4" s="34">
        <f>VLOOKUP(A4,'最终 数据源'!$1:$1048576,6,FALSE)</f>
        <v>2.9700000000000001E-4</v>
      </c>
      <c r="H4" s="81" t="s">
        <v>204</v>
      </c>
      <c r="I4" s="12" t="s">
        <v>120</v>
      </c>
      <c r="K4" s="24"/>
    </row>
    <row r="5" spans="1:11" s="21" customFormat="1" ht="66" hidden="1" customHeight="1" x14ac:dyDescent="0.25">
      <c r="A5" s="43" t="s">
        <v>91</v>
      </c>
      <c r="B5" s="122"/>
      <c r="C5" s="51" t="str">
        <f>国盛证券!C7</f>
        <v>平安短债
（005754）</v>
      </c>
      <c r="D5" s="52">
        <f>国盛证券!D7</f>
        <v>43236</v>
      </c>
      <c r="E5" s="31">
        <f>VLOOKUP(A5,'最终 数据源'!$A$2:$G$18,4,FALSE)</f>
        <v>1.1447000000000001</v>
      </c>
      <c r="F5" s="8">
        <f>VLOOKUP(A5,'最终 数据源'!$A$2:$G$18,5,FALSE)</f>
        <v>-1.7500000000000003E-4</v>
      </c>
      <c r="G5" s="29">
        <f>VLOOKUP(A5,'最终 数据源'!$A$2:$G$18,6,FALSE)</f>
        <v>-3.3950000000000004E-3</v>
      </c>
      <c r="H5" s="29">
        <f>VLOOKUP(A5,'最终 数据源'!$A$2:$G$18,7,FALSE)</f>
        <v>2.2601E-2</v>
      </c>
      <c r="I5" s="53" t="str">
        <f>国盛证券!I7</f>
        <v>欧阳亮</v>
      </c>
      <c r="K5" s="20"/>
    </row>
    <row r="6" spans="1:11" ht="45" customHeight="1" x14ac:dyDescent="0.25">
      <c r="B6" s="126" t="s">
        <v>24</v>
      </c>
      <c r="C6" s="127"/>
      <c r="D6" s="128"/>
      <c r="E6" s="128"/>
      <c r="F6" s="128"/>
      <c r="G6" s="128"/>
      <c r="H6" s="128"/>
      <c r="I6" s="128"/>
      <c r="K6" s="24"/>
    </row>
    <row r="7" spans="1:11" ht="66" customHeight="1" x14ac:dyDescent="0.25">
      <c r="B7" s="14" t="s">
        <v>25</v>
      </c>
      <c r="C7" s="10" t="s">
        <v>26</v>
      </c>
      <c r="D7" s="105" t="s">
        <v>27</v>
      </c>
      <c r="E7" s="106"/>
      <c r="F7" s="112" t="s">
        <v>28</v>
      </c>
      <c r="G7" s="113"/>
      <c r="H7" s="112" t="s">
        <v>29</v>
      </c>
      <c r="I7" s="113"/>
    </row>
    <row r="8" spans="1:11" ht="66" customHeight="1" x14ac:dyDescent="0.25">
      <c r="B8" s="14" t="s">
        <v>30</v>
      </c>
      <c r="C8" s="10" t="s">
        <v>31</v>
      </c>
      <c r="D8" s="105" t="s">
        <v>32</v>
      </c>
      <c r="E8" s="106"/>
      <c r="F8" s="112" t="s">
        <v>33</v>
      </c>
      <c r="G8" s="113"/>
      <c r="H8" s="112" t="s">
        <v>32</v>
      </c>
      <c r="I8" s="113"/>
    </row>
    <row r="9" spans="1:11" ht="66" customHeight="1" x14ac:dyDescent="0.25">
      <c r="B9" s="14" t="s">
        <v>34</v>
      </c>
      <c r="C9" s="10" t="s">
        <v>35</v>
      </c>
      <c r="D9" s="101" t="s">
        <v>110</v>
      </c>
      <c r="E9" s="102"/>
      <c r="F9" s="103" t="s">
        <v>111</v>
      </c>
      <c r="G9" s="104"/>
      <c r="H9" s="101" t="s">
        <v>36</v>
      </c>
      <c r="I9" s="102"/>
    </row>
    <row r="10" spans="1:11" ht="66" customHeight="1" x14ac:dyDescent="0.25">
      <c r="B10" s="14" t="s">
        <v>37</v>
      </c>
    </row>
    <row r="11" spans="1:11" ht="160.94999999999999" customHeight="1" x14ac:dyDescent="0.25">
      <c r="B11" s="14" t="s">
        <v>38</v>
      </c>
      <c r="C11" s="42" t="s">
        <v>39</v>
      </c>
      <c r="D11" s="90" t="s">
        <v>40</v>
      </c>
      <c r="E11" s="91"/>
      <c r="F11" s="92" t="s">
        <v>41</v>
      </c>
      <c r="G11" s="93"/>
      <c r="H11" s="90" t="s">
        <v>42</v>
      </c>
      <c r="I11" s="91"/>
    </row>
    <row r="12" spans="1:11" ht="36" customHeight="1" x14ac:dyDescent="0.25">
      <c r="B12" s="95" t="s">
        <v>43</v>
      </c>
      <c r="C12" s="96"/>
      <c r="D12" s="96"/>
      <c r="E12" s="96"/>
      <c r="F12" s="96"/>
      <c r="G12" s="96"/>
      <c r="H12" s="96"/>
      <c r="I12" s="97"/>
    </row>
    <row r="13" spans="1:11" ht="43.95" customHeight="1" x14ac:dyDescent="0.25"/>
    <row r="14" spans="1:11" ht="43.95" customHeight="1" x14ac:dyDescent="0.25"/>
    <row r="15" spans="1:11" ht="43.95" customHeight="1" x14ac:dyDescent="0.25"/>
    <row r="18" spans="2:10" ht="41.25" customHeight="1" x14ac:dyDescent="0.25"/>
    <row r="19" spans="2:10" ht="41.25" customHeight="1" x14ac:dyDescent="0.25"/>
    <row r="23" spans="2:10" ht="41.25" customHeight="1" x14ac:dyDescent="0.25"/>
    <row r="25" spans="2:10" ht="70.2" customHeight="1" x14ac:dyDescent="0.25">
      <c r="B25" s="15"/>
      <c r="C25" s="16"/>
      <c r="D25" s="17"/>
      <c r="E25" s="17"/>
      <c r="F25" s="18"/>
      <c r="G25" s="18"/>
      <c r="H25" s="18"/>
      <c r="I25" s="18"/>
      <c r="J25" s="18"/>
    </row>
    <row r="26" spans="2:10" ht="70.2" customHeight="1" x14ac:dyDescent="0.25">
      <c r="B26" s="15"/>
      <c r="C26" s="16"/>
      <c r="D26" s="17"/>
      <c r="E26" s="17"/>
      <c r="F26" s="18"/>
      <c r="G26" s="18"/>
      <c r="H26" s="18"/>
      <c r="I26" s="18"/>
      <c r="J26" s="18"/>
    </row>
    <row r="27" spans="2:10" ht="70.2" customHeight="1" x14ac:dyDescent="0.25">
      <c r="J27" s="18"/>
    </row>
    <row r="28" spans="2:10" ht="70.2" customHeight="1" x14ac:dyDescent="0.25">
      <c r="J28" s="18"/>
    </row>
    <row r="29" spans="2:10" ht="70.2" customHeight="1" x14ac:dyDescent="0.25">
      <c r="J29" s="18"/>
    </row>
  </sheetData>
  <mergeCells count="16">
    <mergeCell ref="B12:I12"/>
    <mergeCell ref="D9:E9"/>
    <mergeCell ref="F9:G9"/>
    <mergeCell ref="H9:I9"/>
    <mergeCell ref="B1:I2"/>
    <mergeCell ref="D11:E11"/>
    <mergeCell ref="F11:G11"/>
    <mergeCell ref="H11:I11"/>
    <mergeCell ref="B4:B5"/>
    <mergeCell ref="B6:I6"/>
    <mergeCell ref="D7:E7"/>
    <mergeCell ref="F7:G7"/>
    <mergeCell ref="H7:I7"/>
    <mergeCell ref="D8:E8"/>
    <mergeCell ref="F8:G8"/>
    <mergeCell ref="H8:I8"/>
  </mergeCells>
  <phoneticPr fontId="21" type="noConversion"/>
  <conditionalFormatting sqref="F4:F5">
    <cfRule type="dataBar" priority="122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{093B3BE6-3F93-4312-8156-F37DDC88DB80}</x14:id>
        </ext>
      </extLst>
    </cfRule>
    <cfRule type="dataBar" priority="123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{CCCB0893-5E06-4DF9-AE0A-86175291A380}</x14:id>
        </ext>
      </extLst>
    </cfRule>
    <cfRule type="dataBar" priority="123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{458BE3F5-3BF5-4AAE-A837-4CB927C1DA99}</x14:id>
        </ext>
      </extLst>
    </cfRule>
    <cfRule type="dataBar" priority="123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{B24F0380-D727-4E67-98D1-99EA5EA43BBB}</x14:id>
        </ext>
      </extLst>
    </cfRule>
    <cfRule type="dataBar" priority="123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{046F54BF-F860-4008-B072-51029B52EC23}</x14:id>
        </ext>
      </extLst>
    </cfRule>
    <cfRule type="dataBar" priority="123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{400DBB6C-F843-4DBD-B399-42EDE33E9938}</x14:id>
        </ext>
      </extLst>
    </cfRule>
  </conditionalFormatting>
  <conditionalFormatting sqref="G5:H5 G4">
    <cfRule type="cellIs" dxfId="11" priority="1" operator="equal">
      <formula>0</formula>
    </cfRule>
    <cfRule type="cellIs" dxfId="10" priority="2" operator="lessThan">
      <formula>0</formula>
    </cfRule>
    <cfRule type="cellIs" dxfId="9" priority="3" operator="greaterThan">
      <formula>0</formula>
    </cfRule>
  </conditionalFormatting>
  <conditionalFormatting sqref="K4:K6">
    <cfRule type="cellIs" dxfId="8" priority="490" operator="equal">
      <formula>0</formula>
    </cfRule>
    <cfRule type="cellIs" dxfId="7" priority="491" operator="lessThan">
      <formula>0</formula>
    </cfRule>
    <cfRule type="cellIs" dxfId="6" priority="492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3B3BE6-3F93-4312-8156-F37DDC88DB8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CCB0893-5E06-4DF9-AE0A-86175291A38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458BE3F5-3BF5-4AAE-A837-4CB927C1DA99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B24F0380-D727-4E67-98D1-99EA5EA43BBB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046F54BF-F860-4008-B072-51029B52EC2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400DBB6C-F843-4DBD-B399-42EDE33E993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K30"/>
  <sheetViews>
    <sheetView topLeftCell="A7" zoomScale="55" zoomScaleNormal="55" workbookViewId="0">
      <selection activeCell="H4" sqref="H4"/>
    </sheetView>
  </sheetViews>
  <sheetFormatPr defaultColWidth="9" defaultRowHeight="70.2" customHeight="1" x14ac:dyDescent="0.25"/>
  <cols>
    <col min="1" max="1" width="24.332031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8.77734375" customWidth="1"/>
    <col min="13" max="13" width="21.109375"/>
    <col min="14" max="14" width="12.77734375"/>
    <col min="15" max="15" width="11.6640625"/>
    <col min="16" max="16" width="13.109375"/>
    <col min="17" max="17" width="15.109375"/>
    <col min="20" max="20" width="13.77734375"/>
  </cols>
  <sheetData>
    <row r="1" spans="1:11" ht="42" customHeight="1" x14ac:dyDescent="0.25">
      <c r="B1" s="84" t="str">
        <f ca="1">"优选基金&amp;售后跟踪"&amp;TEXT(TODAY(),"(yyyy-mm-dd)")</f>
        <v>优选基金&amp;售后跟踪(2022-12-10)</v>
      </c>
      <c r="C1" s="85"/>
      <c r="D1" s="85"/>
      <c r="E1" s="85"/>
      <c r="F1" s="85"/>
      <c r="G1" s="85"/>
      <c r="H1" s="85"/>
      <c r="I1" s="85"/>
      <c r="J1" s="18"/>
    </row>
    <row r="2" spans="1:11" ht="45" customHeight="1" x14ac:dyDescent="0.25">
      <c r="B2" s="87"/>
      <c r="C2" s="88"/>
      <c r="D2" s="88"/>
      <c r="E2" s="88"/>
      <c r="F2" s="88"/>
      <c r="G2" s="88"/>
      <c r="H2" s="88"/>
      <c r="I2" s="88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39" t="s">
        <v>118</v>
      </c>
      <c r="B4" s="57" t="s">
        <v>107</v>
      </c>
      <c r="C4" s="5" t="s">
        <v>119</v>
      </c>
      <c r="D4" s="10">
        <v>44699</v>
      </c>
      <c r="E4" s="31">
        <f>VLOOKUP(A4,'最终 数据源'!$1:$1048576,4,FALSE)</f>
        <v>1.0104</v>
      </c>
      <c r="F4" s="8">
        <f>VLOOKUP(A4,'最终 数据源'!$1:$1048576,5,FALSE)</f>
        <v>9.9000000000000008E-5</v>
      </c>
      <c r="G4" s="29">
        <f>VLOOKUP(A4,'最终 数据源'!$1:$1048576,6,FALSE)</f>
        <v>2.9700000000000001E-4</v>
      </c>
      <c r="H4" s="81" t="s">
        <v>204</v>
      </c>
      <c r="I4" s="12" t="s">
        <v>120</v>
      </c>
      <c r="K4" s="24"/>
    </row>
    <row r="5" spans="1:11" ht="66" hidden="1" customHeight="1" x14ac:dyDescent="0.25">
      <c r="A5" s="39" t="s">
        <v>100</v>
      </c>
      <c r="B5" s="69"/>
      <c r="C5" s="5" t="s">
        <v>48</v>
      </c>
      <c r="D5" s="6">
        <v>42482</v>
      </c>
      <c r="E5" s="31" t="e">
        <f>VLOOKUP(A5,'最终 数据源'!$1:$1048576,4,FALSE)</f>
        <v>#N/A</v>
      </c>
      <c r="F5" s="8" t="e">
        <f>VLOOKUP(A5,'最终 数据源'!$1:$1048576,5,FALSE)</f>
        <v>#N/A</v>
      </c>
      <c r="G5" s="29" t="e">
        <f>VLOOKUP(A5,'最终 数据源'!$1:$1048576,6,FALSE)</f>
        <v>#N/A</v>
      </c>
      <c r="H5" s="29" t="e">
        <f>VLOOKUP(A5,'最终 数据源'!$A$2:$G$18,7,FALSE)</f>
        <v>#N/A</v>
      </c>
      <c r="I5" s="9" t="s">
        <v>49</v>
      </c>
      <c r="K5" s="20">
        <f>招商证券!K10</f>
        <v>0.12341199999999999</v>
      </c>
    </row>
    <row r="6" spans="1:11" ht="76.2" customHeight="1" x14ac:dyDescent="0.25">
      <c r="A6" s="39" t="s">
        <v>109</v>
      </c>
      <c r="B6" s="68" t="s">
        <v>52</v>
      </c>
      <c r="C6" s="12" t="s">
        <v>23</v>
      </c>
      <c r="D6" s="6">
        <v>44559</v>
      </c>
      <c r="E6" s="31">
        <f>VLOOKUP(A6,'最终 数据源'!$1:$1048576,4,FALSE)</f>
        <v>0.8962</v>
      </c>
      <c r="F6" s="8">
        <f>VLOOKUP(A6,'最终 数据源'!$1:$1048576,5,FALSE)</f>
        <v>1.5984999999999999E-2</v>
      </c>
      <c r="G6" s="29">
        <f>VLOOKUP(A6,'最终 数据源'!$1:$1048576,6,FALSE)</f>
        <v>-1.8186000000000001E-2</v>
      </c>
      <c r="H6" s="29">
        <f>VLOOKUP(A6,'最终 数据源'!$1:$1048576,7,FALSE)</f>
        <v>-0.10371000000000001</v>
      </c>
      <c r="I6" s="9" t="s">
        <v>14</v>
      </c>
    </row>
    <row r="7" spans="1:11" ht="45" customHeight="1" x14ac:dyDescent="0.25">
      <c r="B7" s="117" t="s">
        <v>24</v>
      </c>
      <c r="C7" s="118"/>
      <c r="D7" s="118"/>
      <c r="E7" s="118"/>
      <c r="F7" s="118"/>
      <c r="G7" s="118"/>
      <c r="H7" s="118"/>
      <c r="I7" s="119"/>
    </row>
    <row r="8" spans="1:11" ht="66" customHeight="1" x14ac:dyDescent="0.25">
      <c r="B8" s="14" t="s">
        <v>25</v>
      </c>
      <c r="C8" s="10" t="s">
        <v>26</v>
      </c>
      <c r="D8" s="105" t="s">
        <v>27</v>
      </c>
      <c r="E8" s="106"/>
      <c r="F8" s="112" t="s">
        <v>28</v>
      </c>
      <c r="G8" s="113"/>
      <c r="H8" s="112" t="s">
        <v>29</v>
      </c>
      <c r="I8" s="113"/>
    </row>
    <row r="9" spans="1:11" ht="66" customHeight="1" x14ac:dyDescent="0.25">
      <c r="B9" s="14" t="s">
        <v>30</v>
      </c>
      <c r="C9" s="10" t="s">
        <v>31</v>
      </c>
      <c r="D9" s="105" t="s">
        <v>32</v>
      </c>
      <c r="E9" s="106"/>
      <c r="F9" s="112" t="s">
        <v>33</v>
      </c>
      <c r="G9" s="113"/>
      <c r="H9" s="112" t="s">
        <v>32</v>
      </c>
      <c r="I9" s="113"/>
    </row>
    <row r="10" spans="1:11" ht="66" customHeight="1" x14ac:dyDescent="0.25">
      <c r="B10" s="14" t="s">
        <v>34</v>
      </c>
      <c r="C10" s="10" t="s">
        <v>35</v>
      </c>
      <c r="D10" s="101" t="s">
        <v>110</v>
      </c>
      <c r="E10" s="102"/>
      <c r="F10" s="103" t="s">
        <v>111</v>
      </c>
      <c r="G10" s="104"/>
      <c r="H10" s="101" t="s">
        <v>36</v>
      </c>
      <c r="I10" s="102"/>
    </row>
    <row r="11" spans="1:11" ht="66" customHeight="1" x14ac:dyDescent="0.25">
      <c r="B11" s="14" t="s">
        <v>37</v>
      </c>
    </row>
    <row r="12" spans="1:11" ht="160.94999999999999" customHeight="1" x14ac:dyDescent="0.25">
      <c r="B12" s="14" t="s">
        <v>38</v>
      </c>
      <c r="C12" s="42" t="s">
        <v>39</v>
      </c>
      <c r="D12" s="90" t="s">
        <v>40</v>
      </c>
      <c r="E12" s="91"/>
      <c r="F12" s="92" t="s">
        <v>41</v>
      </c>
      <c r="G12" s="93"/>
      <c r="H12" s="90" t="s">
        <v>42</v>
      </c>
      <c r="I12" s="91"/>
    </row>
    <row r="13" spans="1:11" ht="36" customHeight="1" x14ac:dyDescent="0.25">
      <c r="B13" s="95" t="s">
        <v>43</v>
      </c>
      <c r="C13" s="96"/>
      <c r="D13" s="96"/>
      <c r="E13" s="96"/>
      <c r="F13" s="96"/>
      <c r="G13" s="96"/>
      <c r="H13" s="96"/>
      <c r="I13" s="97"/>
    </row>
    <row r="14" spans="1:11" ht="43.95" customHeight="1" x14ac:dyDescent="0.25"/>
    <row r="15" spans="1:11" ht="43.95" customHeight="1" x14ac:dyDescent="0.25"/>
    <row r="16" spans="1:11" ht="43.95" customHeight="1" x14ac:dyDescent="0.25"/>
    <row r="19" spans="2:10" ht="41.25" customHeight="1" x14ac:dyDescent="0.25"/>
    <row r="20" spans="2:10" ht="41.25" customHeight="1" x14ac:dyDescent="0.25"/>
    <row r="24" spans="2:10" ht="41.25" customHeight="1" x14ac:dyDescent="0.25"/>
    <row r="26" spans="2:10" ht="70.2" customHeight="1" x14ac:dyDescent="0.25">
      <c r="B26" s="15"/>
      <c r="C26" s="16"/>
      <c r="D26" s="17"/>
      <c r="E26" s="17"/>
      <c r="F26" s="18"/>
      <c r="G26" s="18"/>
      <c r="H26" s="18"/>
      <c r="I26" s="18"/>
      <c r="J26" s="18"/>
    </row>
    <row r="27" spans="2:10" ht="70.2" customHeight="1" x14ac:dyDescent="0.25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2" customHeight="1" x14ac:dyDescent="0.25">
      <c r="J28" s="18"/>
    </row>
    <row r="29" spans="2:10" ht="70.2" customHeight="1" x14ac:dyDescent="0.25">
      <c r="J29" s="18"/>
    </row>
    <row r="30" spans="2:10" ht="70.2" customHeight="1" x14ac:dyDescent="0.25">
      <c r="J30" s="18"/>
    </row>
  </sheetData>
  <mergeCells count="15">
    <mergeCell ref="B13:I13"/>
    <mergeCell ref="D10:E10"/>
    <mergeCell ref="F10:G10"/>
    <mergeCell ref="H10:I10"/>
    <mergeCell ref="B1:I2"/>
    <mergeCell ref="D12:E12"/>
    <mergeCell ref="F12:G12"/>
    <mergeCell ref="H12:I12"/>
    <mergeCell ref="B7:I7"/>
    <mergeCell ref="D8:E8"/>
    <mergeCell ref="F8:G8"/>
    <mergeCell ref="H8:I8"/>
    <mergeCell ref="D9:E9"/>
    <mergeCell ref="F9:G9"/>
    <mergeCell ref="H9:I9"/>
  </mergeCells>
  <phoneticPr fontId="21" type="noConversion"/>
  <conditionalFormatting sqref="F4:F6">
    <cfRule type="dataBar" priority="119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{8E78AB4B-E5D2-48E3-91CC-CF0195641790}</x14:id>
        </ext>
      </extLst>
    </cfRule>
    <cfRule type="dataBar" priority="120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{C443A37B-00B2-4B91-8841-D8256413D8DA}</x14:id>
        </ext>
      </extLst>
    </cfRule>
    <cfRule type="dataBar" priority="120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{A0A4B255-767B-4B18-A596-8EFB76A42B59}</x14:id>
        </ext>
      </extLst>
    </cfRule>
    <cfRule type="dataBar" priority="120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{21BC1363-288C-43D1-94CB-A36E5408D5DE}</x14:id>
        </ext>
      </extLst>
    </cfRule>
    <cfRule type="dataBar" priority="120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{BC971B05-24BD-46BE-A5C6-307E6C862F33}</x14:id>
        </ext>
      </extLst>
    </cfRule>
    <cfRule type="dataBar" priority="120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{83A0F819-8204-4C36-A5E5-07F76C8334CF}</x14:id>
        </ext>
      </extLst>
    </cfRule>
  </conditionalFormatting>
  <conditionalFormatting sqref="G5:H6 G4:G6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</conditionalFormatting>
  <conditionalFormatting sqref="K4:K5">
    <cfRule type="cellIs" dxfId="2" priority="523" operator="equal">
      <formula>0</formula>
    </cfRule>
    <cfRule type="cellIs" dxfId="1" priority="524" operator="lessThan">
      <formula>0</formula>
    </cfRule>
    <cfRule type="cellIs" dxfId="0" priority="525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E78AB4B-E5D2-48E3-91CC-CF019564179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443A37B-00B2-4B91-8841-D8256413D8DA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0A4B255-767B-4B18-A596-8EFB76A42B59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21BC1363-288C-43D1-94CB-A36E5408D5DE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BC971B05-24BD-46BE-A5C6-307E6C862F3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83A0F819-8204-4C36-A5E5-07F76C8334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15"/>
  <sheetViews>
    <sheetView topLeftCell="A4" workbookViewId="0">
      <selection activeCell="A39" sqref="A39"/>
    </sheetView>
  </sheetViews>
  <sheetFormatPr defaultColWidth="8.77734375" defaultRowHeight="13.8" x14ac:dyDescent="0.25"/>
  <cols>
    <col min="1" max="1" width="72.109375" customWidth="1"/>
  </cols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s="21" t="s">
        <v>77</v>
      </c>
    </row>
    <row r="4" spans="1:1" ht="39" customHeight="1" x14ac:dyDescent="0.25">
      <c r="A4" s="35" t="s">
        <v>78</v>
      </c>
    </row>
    <row r="5" spans="1:1" x14ac:dyDescent="0.25">
      <c r="A5" s="38" t="s">
        <v>89</v>
      </c>
    </row>
    <row r="6" spans="1:1" x14ac:dyDescent="0.25">
      <c r="A6" s="21" t="s">
        <v>79</v>
      </c>
    </row>
    <row r="7" spans="1:1" x14ac:dyDescent="0.25">
      <c r="A7" s="21" t="s">
        <v>80</v>
      </c>
    </row>
    <row r="8" spans="1:1" x14ac:dyDescent="0.25">
      <c r="A8" s="38" t="s">
        <v>88</v>
      </c>
    </row>
    <row r="9" spans="1:1" x14ac:dyDescent="0.25">
      <c r="A9" s="21" t="s">
        <v>81</v>
      </c>
    </row>
    <row r="10" spans="1:1" x14ac:dyDescent="0.25">
      <c r="A10" s="21" t="s">
        <v>82</v>
      </c>
    </row>
    <row r="11" spans="1:1" x14ac:dyDescent="0.25">
      <c r="A11" s="21" t="s">
        <v>83</v>
      </c>
    </row>
    <row r="12" spans="1:1" x14ac:dyDescent="0.25">
      <c r="A12" t="s">
        <v>84</v>
      </c>
    </row>
    <row r="13" spans="1:1" x14ac:dyDescent="0.25">
      <c r="A13" t="s">
        <v>85</v>
      </c>
    </row>
    <row r="14" spans="1:1" x14ac:dyDescent="0.25">
      <c r="A14" t="s">
        <v>86</v>
      </c>
    </row>
    <row r="15" spans="1:1" x14ac:dyDescent="0.25">
      <c r="A15" t="s">
        <v>87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数据源</vt:lpstr>
      <vt:lpstr>ETF同业</vt:lpstr>
      <vt:lpstr>最终 数据源</vt:lpstr>
      <vt:lpstr>广发证券</vt:lpstr>
      <vt:lpstr>中金财富</vt:lpstr>
      <vt:lpstr>粤开证券</vt:lpstr>
      <vt:lpstr>国海</vt:lpstr>
      <vt:lpstr>万联</vt:lpstr>
      <vt:lpstr>招商证券</vt:lpstr>
      <vt:lpstr>国信证券</vt:lpstr>
      <vt:lpstr>国盛证券</vt:lpstr>
      <vt:lpstr>长城证券</vt:lpstr>
      <vt:lpstr>安信证券</vt:lpstr>
      <vt:lpstr>播报规则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Light_ouo</dc:creator>
  <cp:lastModifiedBy>韩晓阳</cp:lastModifiedBy>
  <dcterms:created xsi:type="dcterms:W3CDTF">2015-06-05T18:19:00Z</dcterms:created>
  <dcterms:modified xsi:type="dcterms:W3CDTF">2022-12-10T12:48:49Z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2052-11.1.0.11365</vt:lpwstr>
  </property>
  <property fmtid="{D5CDD505-2E9C-101B-9397-08002B2CF9AE}" pid="3" name="ICV">
    <vt:lpwstr>1B488B05AA704CCE9BDA625554766966</vt:lpwstr>
  </property>
  <property fmtid="{D5CDD505-2E9C-101B-9397-08002B2CF9AE}" pid="4" name="EM_Doc_Temp_ID">
    <vt:lpwstr>5aec22a3</vt:lpwstr>
  </property>
</Properties>
</file>